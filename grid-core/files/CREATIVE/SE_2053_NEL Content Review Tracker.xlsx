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100DIGITAL\SCHNEIDER\NEL\CREATIVE\"/>
    </mc:Choice>
  </mc:AlternateContent>
  <xr:revisionPtr revIDLastSave="0" documentId="8_{52AB4D74-72C1-4ED1-9757-13CE10E4C9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eative and CTAs" sheetId="1" r:id="rId1"/>
    <sheet name="Media Plan" sheetId="2" r:id="rId2"/>
    <sheet name="TA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G14" i="2"/>
  <c r="G13" i="2"/>
  <c r="G12" i="2"/>
  <c r="G16" i="2" l="1"/>
  <c r="J12" i="2"/>
  <c r="I12" i="2"/>
  <c r="J13" i="2"/>
  <c r="I13" i="2"/>
  <c r="J14" i="2"/>
  <c r="I14" i="2"/>
  <c r="J15" i="2"/>
  <c r="I15" i="2"/>
  <c r="I16" i="2" l="1"/>
  <c r="J16" i="2"/>
</calcChain>
</file>

<file path=xl/sharedStrings.xml><?xml version="1.0" encoding="utf-8"?>
<sst xmlns="http://schemas.openxmlformats.org/spreadsheetml/2006/main" count="103" uniqueCount="78">
  <si>
    <t>Category</t>
  </si>
  <si>
    <t>Channel</t>
  </si>
  <si>
    <t>Asset</t>
  </si>
  <si>
    <t>Link</t>
  </si>
  <si>
    <t>CTA for Media Team</t>
  </si>
  <si>
    <t>Media Go Live status</t>
  </si>
  <si>
    <t>Go Live Date</t>
  </si>
  <si>
    <t>Remarks</t>
  </si>
  <si>
    <t>Awareness</t>
  </si>
  <si>
    <t>Strategy 1 - Programmatic</t>
  </si>
  <si>
    <t>Display ad</t>
  </si>
  <si>
    <t>https://pulsecomms1.sharepoint.com/:i:/s/SchneiderElectricAPJ/IQA2YaXwUnYhTpQYIu972DDYAbw-_509G7K4W834ThNWf8k?e=RaFt2l</t>
  </si>
  <si>
    <t>NZ audience: https://www.se.com/nz/en/work/solutions/automotive-and-emobility/emobility/?utm_source=tradedesk&amp;utm_medium=display&amp;utm_campaign=2026_apr_nz_pp_offsestarch_tradedesk_consideration_programmatic-display_local_neltransmissiondccharging&amp;utm_tactic=discovermore&amp;utm_id=au_202603_nelinfographictransmissioncampaign_aon_dav_sestarch_pp_en3_acq_na&amp;campaign_objective=consideration&amp;mcl_name=offsestarch
AU audience: https://www.se.com/au/en/work/solutions/automotive-and-emobility/emobility/?utm_source=tradedesk&amp;utm_medium=display&amp;utm_campaign=2026_apr_au_pp_offsestarch_tradedesk_consideration_programmatic-display_local_neltransmissiondccharging&amp;utm_tactic=discovermore&amp;utm_id=au_202603_nelinfographic</t>
  </si>
  <si>
    <t>Static-1.1_320x100.jpg</t>
  </si>
  <si>
    <t>https://pulsecomms1.sharepoint.com/:i:/s/SchneiderElectricAPJ/IQB48Cx5v1_GSKste61V9E4nAX-RRTwoq3XkZLQfVUMYnpg?e=x4njZo</t>
  </si>
  <si>
    <t>Static-2.1_320x100.jpg</t>
  </si>
  <si>
    <t>https://pulsecomms1.sharepoint.com/:i:/s/SchneiderElectricAPJ/IQDgXNj5VI9WSpt9lr7eGgd_AYCg_QY6bJ5qGK1dTiNR4bU?e=TNKv3Y</t>
  </si>
  <si>
    <t>Static-3.1_320x100.jpg</t>
  </si>
  <si>
    <t>Strategy 2 - LinkedIn</t>
  </si>
  <si>
    <t>Video</t>
  </si>
  <si>
    <t>4_Reasons_Why_Building_Owners_Chose_EcoStruxure_EV_Charging_Expert_social_sprinklr_A.mp4</t>
  </si>
  <si>
    <t>NZ Audience: https://www.se.com/nz/en/work/solutions/automotive-and-emobility/emobility/?utm_source=linkedin&amp;utm_medium=display&amp;utm_campaign=2026_apr_nz_pp_offsestarch_linkedin_consideration_paid-social_local_nelinfographictransmissioncampaign&amp;utm_tactic=discovermore&amp;utm_id=au_202603_nelinfographictransmissioncampaign_aon_dav_sestarch_pp_en3_acq_na&amp;campaign_objective=consideration&amp;mcl_name=offsestarch
AU Audience: https://www.se.com/au/en/work/solutions/automotive-and-emobility/emobility/?utm_source=linkedin&amp;utm_medium=display&amp;utm_campaign=2026_apr_au_pp_offsestarch_linkedin_consideration_paid-social_local_neltransmissiondccharging&amp;utm_tactic=discovermore&amp;utm_id=au_202603_nelinfographictransmissioncampaign_aon_dav_sestarch_pp_en3_acq_na&amp;campaign_objective=consideration&amp;mcl_name=offsestarch</t>
  </si>
  <si>
    <t>998-25358700_EVlink-ProDC-720_GMA_30s-Video_1080x1080.mp4</t>
  </si>
  <si>
    <t>Consideration</t>
  </si>
  <si>
    <t>Strategy 1 - LinkedIn Lead Gen Form</t>
  </si>
  <si>
    <t>Document Ads provided need to be gated into the Linkedin Lead gen Forms​</t>
  </si>
  <si>
    <t>[Provided by SE] Document ads</t>
  </si>
  <si>
    <r>
      <rPr>
        <sz val="11"/>
        <color rgb="FF000000"/>
        <rFont val="Calibri"/>
        <scheme val="minor"/>
      </rPr>
      <t xml:space="preserve">Not applicable as the format is a document ad --&gt; end goal = leads. </t>
    </r>
    <r>
      <rPr>
        <sz val="11"/>
        <color rgb="FFFF0000"/>
        <rFont val="Calibri"/>
        <scheme val="minor"/>
      </rPr>
      <t xml:space="preserve">Save linkedin leads here: </t>
    </r>
    <r>
      <rPr>
        <sz val="11"/>
        <color rgb="FF000000"/>
        <rFont val="Calibri"/>
        <scheme val="minor"/>
      </rPr>
      <t>https://pulsecomms1.sharepoint.com/:f:/s/intranet-apac/PII/IgAW0r03Q66sSrECXPxSpDKhAaqZ3g7KmuG2_7HTwfdjAMA?e=1EQgCY</t>
    </r>
  </si>
  <si>
    <t>Conversion</t>
  </si>
  <si>
    <t>Strategy 1 - LinkedIn</t>
  </si>
  <si>
    <t>Single Image ads</t>
  </si>
  <si>
    <t>Linkedin Static 1_1200x1200_v1.jpg</t>
  </si>
  <si>
    <t>NZ audience: https://engage.se.future-ready.co/nz-heavy-ev-charging-infra-registration
AU audience: https://engage.se.future-ready.co/au-heavy-ev-charging-infra-registration</t>
  </si>
  <si>
    <t>Linkedin Static 1_1200x1200_v2.jpg</t>
  </si>
  <si>
    <t>Linkedin Static 1_1200x1200_v3.jpg</t>
  </si>
  <si>
    <t>Agency Name:</t>
  </si>
  <si>
    <t>Transmission</t>
  </si>
  <si>
    <t>Client Name:</t>
  </si>
  <si>
    <t>Schneider Electric</t>
  </si>
  <si>
    <t>Campaign :</t>
  </si>
  <si>
    <t>2053 SE ANZ New Energy Landscape (NEL) Awareness Campaign</t>
  </si>
  <si>
    <t>Campaign Start Date:</t>
  </si>
  <si>
    <t>revise to june start through august</t>
  </si>
  <si>
    <t>Campaign End Date</t>
  </si>
  <si>
    <t xml:space="preserve">Campaign Duration (No. of days) </t>
  </si>
  <si>
    <t>Currency:</t>
  </si>
  <si>
    <t>AUD</t>
  </si>
  <si>
    <t xml:space="preserve">Overall Budget </t>
  </si>
  <si>
    <t>Geo:</t>
  </si>
  <si>
    <t>ANZ - 80% Australia / 20% New Zealand</t>
  </si>
  <si>
    <t>Strategy</t>
  </si>
  <si>
    <t>Details</t>
  </si>
  <si>
    <t>Targeting</t>
  </si>
  <si>
    <t>Format</t>
  </si>
  <si>
    <t>Buying Type</t>
  </si>
  <si>
    <t>Impressions</t>
  </si>
  <si>
    <t>Frequency Cap</t>
  </si>
  <si>
    <t>Reach Estimate</t>
  </si>
  <si>
    <t>Clicks Estimate</t>
  </si>
  <si>
    <t>CTR Estimate</t>
  </si>
  <si>
    <t>CPM Estimate</t>
  </si>
  <si>
    <t>Total Cost</t>
  </si>
  <si>
    <t>Programmatic - TradeDesk</t>
  </si>
  <si>
    <t>High-impact display across premium industry &amp; sustainability publishers. Bombora 3-tier intent targeting + TAL overlay. Topics: EV charging, fleet electrification, energy infrastructure.</t>
  </si>
  <si>
    <t>Bombora intent signals (3-tier) + TAL overlay. Company size varies by pillar. ANZ 80/20.</t>
  </si>
  <si>
    <t>High Impact</t>
  </si>
  <si>
    <t>CPM</t>
  </si>
  <si>
    <t>Awareness + Consideration</t>
  </si>
  <si>
    <t>LinkedIn</t>
  </si>
  <si>
    <t>Video Ads promoting EV infrastructure thought leadership: fleet electrification insights, charging infrastructure planning, energy ecosystem content across all three persona pillars.</t>
  </si>
  <si>
    <t>Pillar 1: Electrical Design Engineer/Specifier/Project
Engineer &amp; Consultant/Technical Lead/Engineering
Manager​ Pillar 2: Sustainability &amp; Environment Officers/Infrastructure
Managers/Transport &amp; Mobility Planners/ Urban
Development Officers/Smart Innovation
Leads/Fleet Managers  Company size per pillar + TAL.</t>
  </si>
  <si>
    <t>Video Ads</t>
  </si>
  <si>
    <t>Document Ads showcasing EVlink Pro capabilities, case studies, ROI content for EV charging infrastructure investment decisions across all persona pillars.</t>
  </si>
  <si>
    <t>TAL + persona targeting across both pillars. Company size varies by pillar.</t>
  </si>
  <si>
    <t>Document Ads</t>
  </si>
  <si>
    <t>Single Image Ads driving to a landing page hosting the interactive infographic. Core asset to build intent and generate opt-ins across Persona A (Design &amp; Engineering) and Persona B (Public Sector &amp; Heavy Vehicle Fleet Operators).</t>
  </si>
  <si>
    <t>TAL + Persona A &amp; Persona B. Company size varies by persona.</t>
  </si>
  <si>
    <t>Single Image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</si>
</sst>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&quot; €&quot;"/>
    <numFmt numFmtId="165" formatCode="[$-C09]dd\-mmm\-yy"/>
    <numFmt numFmtId="166" formatCode="_(* #,##0.0000_);_(* \(#,##0.0000\);_(* \-??_);_(@_)"/>
    <numFmt numFmtId="167" formatCode="_(\$* #,##0.00_);_(\$* \(#,##0.00\);_(\$* \-??_);_(@_)"/>
    <numFmt numFmtId="168" formatCode="\$#,##0"/>
    <numFmt numFmtId="169" formatCode="_-[$$-C09]* #,##0.00_-;\-[$$-C09]* #,##0.00_-;_-[$$-C09]* \-??_-;_-@"/>
    <numFmt numFmtId="170" formatCode="[$$]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scheme val="minor"/>
    </font>
    <font>
      <sz val="14"/>
      <color rgb="FF000000"/>
      <name val="Arial"/>
      <family val="2"/>
    </font>
    <font>
      <sz val="15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FF0000"/>
      <name val="Arial"/>
      <family val="2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b/>
      <sz val="14"/>
      <color rgb="FF000000"/>
      <name val="Arial"/>
      <family val="2"/>
    </font>
    <font>
      <b/>
      <sz val="18"/>
      <color rgb="FFFFFFFF"/>
      <name val="Arial"/>
      <family val="2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7F7F7"/>
      </patternFill>
    </fill>
    <fill>
      <patternFill patternType="solid">
        <fgColor rgb="FFBFBFBF"/>
        <bgColor rgb="FFB3B3B5"/>
      </patternFill>
    </fill>
    <fill>
      <patternFill patternType="solid">
        <fgColor rgb="FF0070C0"/>
        <bgColor rgb="FF0078D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1" applyAlignment="1">
      <alignment vertical="center" wrapText="1"/>
    </xf>
    <xf numFmtId="0" fontId="0" fillId="3" borderId="0" xfId="0" applyFill="1" applyAlignment="1">
      <alignment vertical="center"/>
    </xf>
    <xf numFmtId="0" fontId="4" fillId="0" borderId="0" xfId="0" applyFont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0" fontId="8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8" fillId="4" borderId="0" xfId="0" applyNumberFormat="1" applyFont="1" applyFill="1" applyAlignment="1">
      <alignment horizontal="center" vertical="center" wrapText="1"/>
    </xf>
    <xf numFmtId="165" fontId="7" fillId="4" borderId="0" xfId="0" applyNumberFormat="1" applyFont="1" applyFill="1" applyAlignment="1">
      <alignment horizontal="left" vertical="center" wrapText="1"/>
    </xf>
    <xf numFmtId="166" fontId="9" fillId="4" borderId="0" xfId="0" applyNumberFormat="1" applyFont="1" applyFill="1" applyAlignment="1">
      <alignment horizontal="center" vertical="center" wrapText="1"/>
    </xf>
    <xf numFmtId="166" fontId="8" fillId="4" borderId="0" xfId="0" applyNumberFormat="1" applyFont="1" applyFill="1" applyAlignment="1">
      <alignment horizontal="center" vertical="center" wrapText="1"/>
    </xf>
    <xf numFmtId="165" fontId="8" fillId="4" borderId="0" xfId="0" applyNumberFormat="1" applyFont="1" applyFill="1" applyAlignment="1">
      <alignment horizontal="center" vertical="center" wrapText="1"/>
    </xf>
    <xf numFmtId="167" fontId="7" fillId="4" borderId="0" xfId="0" applyNumberFormat="1" applyFont="1" applyFill="1" applyAlignment="1">
      <alignment horizontal="left" vertical="center" wrapText="1"/>
    </xf>
    <xf numFmtId="167" fontId="8" fillId="4" borderId="0" xfId="0" applyNumberFormat="1" applyFont="1" applyFill="1" applyAlignment="1">
      <alignment horizontal="center" vertical="center" wrapText="1"/>
    </xf>
    <xf numFmtId="168" fontId="7" fillId="4" borderId="0" xfId="0" applyNumberFormat="1" applyFont="1" applyFill="1" applyAlignment="1">
      <alignment horizontal="left" vertical="center" wrapText="1"/>
    </xf>
    <xf numFmtId="169" fontId="8" fillId="0" borderId="0" xfId="0" applyNumberFormat="1" applyFont="1" applyAlignment="1">
      <alignment horizontal="center" vertical="center" wrapText="1"/>
    </xf>
    <xf numFmtId="9" fontId="8" fillId="4" borderId="0" xfId="0" applyNumberFormat="1" applyFont="1" applyFill="1" applyAlignment="1">
      <alignment horizontal="center" vertical="center" wrapText="1"/>
    </xf>
    <xf numFmtId="167" fontId="7" fillId="4" borderId="0" xfId="0" applyNumberFormat="1" applyFont="1" applyFill="1" applyAlignment="1">
      <alignment horizontal="left" vertical="center"/>
    </xf>
    <xf numFmtId="0" fontId="10" fillId="4" borderId="0" xfId="0" applyFont="1" applyFill="1" applyAlignment="1">
      <alignment horizontal="center" vertical="center" wrapText="1"/>
    </xf>
    <xf numFmtId="3" fontId="11" fillId="4" borderId="0" xfId="0" applyNumberFormat="1" applyFont="1" applyFill="1" applyAlignment="1">
      <alignment horizontal="center" vertical="center" wrapText="1"/>
    </xf>
    <xf numFmtId="10" fontId="6" fillId="4" borderId="0" xfId="0" applyNumberFormat="1" applyFont="1" applyFill="1" applyAlignment="1">
      <alignment horizontal="center" vertical="center" wrapText="1"/>
    </xf>
    <xf numFmtId="9" fontId="6" fillId="4" borderId="0" xfId="0" applyNumberFormat="1" applyFont="1" applyFill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64" fontId="12" fillId="5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170" fontId="6" fillId="0" borderId="1" xfId="0" applyNumberFormat="1" applyFont="1" applyBorder="1" applyAlignment="1">
      <alignment horizontal="center" vertical="center" wrapText="1"/>
    </xf>
    <xf numFmtId="170" fontId="6" fillId="0" borderId="2" xfId="0" applyNumberFormat="1" applyFont="1" applyBorder="1" applyAlignment="1">
      <alignment horizontal="center" vertical="center" wrapText="1"/>
    </xf>
    <xf numFmtId="170" fontId="6" fillId="0" borderId="3" xfId="0" applyNumberFormat="1" applyFont="1" applyBorder="1" applyAlignment="1">
      <alignment horizontal="center" vertical="center" wrapText="1"/>
    </xf>
    <xf numFmtId="170" fontId="6" fillId="0" borderId="4" xfId="0" applyNumberFormat="1" applyFont="1" applyBorder="1" applyAlignment="1">
      <alignment horizontal="center" vertical="center" wrapText="1"/>
    </xf>
    <xf numFmtId="170" fontId="6" fillId="0" borderId="5" xfId="0" applyNumberFormat="1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3" fontId="13" fillId="6" borderId="1" xfId="0" applyNumberFormat="1" applyFont="1" applyFill="1" applyBorder="1" applyAlignment="1">
      <alignment horizontal="center" vertical="center" wrapText="1"/>
    </xf>
    <xf numFmtId="164" fontId="13" fillId="6" borderId="1" xfId="0" applyNumberFormat="1" applyFont="1" applyFill="1" applyBorder="1" applyAlignment="1">
      <alignment horizontal="center" vertical="center" wrapText="1"/>
    </xf>
    <xf numFmtId="170" fontId="13" fillId="6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../../:i:/s/SchneiderElectricAPJ/IQDgXNj5VI9WSpt9lr7eGgd_AYCg_QY6bJ5qGK1dTiNR4bU?e=TNKv3Y" TargetMode="External"/><Relationship Id="rId3" Type="http://schemas.openxmlformats.org/officeDocument/2006/relationships/hyperlink" Target="../../../../../../../../:f:/s/SchneiderElectricAPJ/IgDJNzNHTekeR7Jlbeao70eUATDjsJpx-jrZgNZaqBTrYS4?e=EUWBoE" TargetMode="External"/><Relationship Id="rId7" Type="http://schemas.openxmlformats.org/officeDocument/2006/relationships/hyperlink" Target="../../../../../../../../:i:/s/SchneiderElectricAPJ/IQDn0jkx5zOXSbHqtNCUetaRAWE6TGrV9P_RFM97VyshXMc?e=ylwxai" TargetMode="External"/><Relationship Id="rId12" Type="http://schemas.openxmlformats.org/officeDocument/2006/relationships/hyperlink" Target="../../../../../../../../:i:/s/SchneiderElectricAPJ/IQAODf8q5dF_SamCfB8W1OAaAaYBoSaNDTWwfGjN8R_kh-0?e=9X5yNF" TargetMode="External"/><Relationship Id="rId2" Type="http://schemas.openxmlformats.org/officeDocument/2006/relationships/hyperlink" Target="https://pulsecomms1.sharepoint.com/:v:/s/SchneiderElectricAPJ/IQAXnnWeIMIUSrm5p2q1LPtjAZqkGyt617oeyemxCxcvbSo?e=NI2Ief" TargetMode="External"/><Relationship Id="rId1" Type="http://schemas.openxmlformats.org/officeDocument/2006/relationships/hyperlink" Target="https://pulsecomms1.sharepoint.com/:v:/s/SchneiderElectricAPJ/IQD6BPwyyGVzS7Wnmbd35OXhAU2FdJfKQ6AdKJx1xpN-aBw?e=V85etm" TargetMode="External"/><Relationship Id="rId6" Type="http://schemas.openxmlformats.org/officeDocument/2006/relationships/hyperlink" Target="../../../../../../../../:i:/s/SchneiderElectricAPJ/IQB48Cx5v1_GSKste61V9E4nAX-RRTwoq3XkZLQfVUMYnpg?e=x4njZo" TargetMode="External"/><Relationship Id="rId11" Type="http://schemas.openxmlformats.org/officeDocument/2006/relationships/hyperlink" Target="../../../../../../../../:i:/s/SchneiderElectricAPJ/IQDHh28FeZr5SaNqiIGz3FqNAaiB-JbciE7wrZHur25SJJQ?e=gQJ6tn" TargetMode="External"/><Relationship Id="rId5" Type="http://schemas.openxmlformats.org/officeDocument/2006/relationships/hyperlink" Target="../../../../../../../../:i:/s/SchneiderElectricAPJ/IQBeaHAXrQ7QRJrBQnHbj8l2AX_X_Pl5caRg1_cay5qSy1I?e=q8Fwgd" TargetMode="External"/><Relationship Id="rId10" Type="http://schemas.openxmlformats.org/officeDocument/2006/relationships/hyperlink" Target="../../../../../../../../:i:/s/SchneiderElectricAPJ/IQB3Mq5BkJlDS6vOBvBXHxj3AVZZmJZw9j-fl8GOznnniUM?e=bgVrQs" TargetMode="External"/><Relationship Id="rId4" Type="http://schemas.openxmlformats.org/officeDocument/2006/relationships/hyperlink" Target="../../../../../../../../:i:/s/SchneiderElectricAPJ/IQA2YaXwUnYhTpQYIu972DDYAbw-_509G7K4W834ThNWf8k?e=RaFt2l" TargetMode="External"/><Relationship Id="rId9" Type="http://schemas.openxmlformats.org/officeDocument/2006/relationships/hyperlink" Target="../../../../../../../../:i:/s/SchneiderElectricAPJ/IQD-3CNzviSSTrh9C5R1Z_1_AUFq6iq-277Ot-7UAK4pHtk?e=ofAKd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topLeftCell="B1" workbookViewId="0">
      <selection activeCell="D9" sqref="D9"/>
    </sheetView>
  </sheetViews>
  <sheetFormatPr defaultColWidth="8.7109375" defaultRowHeight="15" x14ac:dyDescent="0.25"/>
  <cols>
    <col min="1" max="1" width="12.85546875" style="5" customWidth="1"/>
    <col min="2" max="2" width="22.7109375" style="2" customWidth="1"/>
    <col min="3" max="3" width="27.7109375" style="5" customWidth="1"/>
    <col min="4" max="4" width="61.85546875" style="10" customWidth="1"/>
    <col min="5" max="5" width="70.140625" style="5" customWidth="1"/>
    <col min="6" max="6" width="33.42578125" style="5" customWidth="1"/>
    <col min="7" max="7" width="25.28515625" style="5" customWidth="1"/>
    <col min="8" max="8" width="27.28515625" style="5" customWidth="1"/>
    <col min="9" max="16384" width="8.7109375" style="5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2.450000000000003" customHeight="1" x14ac:dyDescent="0.25">
      <c r="A2" s="49" t="s">
        <v>8</v>
      </c>
      <c r="B2" s="2" t="s">
        <v>9</v>
      </c>
      <c r="C2" s="5" t="s">
        <v>10</v>
      </c>
      <c r="D2" s="6" t="s">
        <v>11</v>
      </c>
      <c r="E2" s="50" t="s">
        <v>12</v>
      </c>
    </row>
    <row r="3" spans="1:8" ht="32.450000000000003" customHeight="1" x14ac:dyDescent="0.25">
      <c r="A3" s="49"/>
      <c r="B3" s="2" t="s">
        <v>9</v>
      </c>
      <c r="C3" s="5" t="s">
        <v>10</v>
      </c>
      <c r="D3" s="6" t="s">
        <v>13</v>
      </c>
      <c r="E3" s="50"/>
    </row>
    <row r="4" spans="1:8" ht="32.450000000000003" customHeight="1" x14ac:dyDescent="0.25">
      <c r="A4" s="49"/>
      <c r="B4" s="2" t="s">
        <v>9</v>
      </c>
      <c r="C4" s="5" t="s">
        <v>10</v>
      </c>
      <c r="D4" s="6" t="s">
        <v>14</v>
      </c>
      <c r="E4" s="50"/>
    </row>
    <row r="5" spans="1:8" ht="32.450000000000003" customHeight="1" x14ac:dyDescent="0.25">
      <c r="A5" s="49"/>
      <c r="B5" s="2" t="s">
        <v>9</v>
      </c>
      <c r="C5" s="5" t="s">
        <v>10</v>
      </c>
      <c r="D5" s="6" t="s">
        <v>15</v>
      </c>
      <c r="E5" s="50"/>
    </row>
    <row r="6" spans="1:8" ht="32.450000000000003" customHeight="1" x14ac:dyDescent="0.25">
      <c r="A6" s="49"/>
      <c r="B6" s="2" t="s">
        <v>9</v>
      </c>
      <c r="C6" s="5" t="s">
        <v>10</v>
      </c>
      <c r="D6" s="6" t="s">
        <v>16</v>
      </c>
      <c r="E6" s="50"/>
    </row>
    <row r="7" spans="1:8" ht="50.1" customHeight="1" x14ac:dyDescent="0.25">
      <c r="A7" s="49"/>
      <c r="B7" s="2" t="s">
        <v>9</v>
      </c>
      <c r="C7" s="5" t="s">
        <v>10</v>
      </c>
      <c r="D7" s="6" t="s">
        <v>17</v>
      </c>
      <c r="E7" s="50"/>
    </row>
    <row r="8" spans="1:8" ht="33.6" customHeight="1" x14ac:dyDescent="0.25">
      <c r="A8" s="49"/>
      <c r="B8" s="2" t="s">
        <v>18</v>
      </c>
      <c r="C8" s="5" t="s">
        <v>19</v>
      </c>
      <c r="D8" s="6" t="s">
        <v>20</v>
      </c>
      <c r="E8" s="50" t="s">
        <v>21</v>
      </c>
    </row>
    <row r="9" spans="1:8" ht="213.95" customHeight="1" x14ac:dyDescent="0.25">
      <c r="A9" s="49"/>
      <c r="B9" s="2" t="s">
        <v>18</v>
      </c>
      <c r="C9" s="5" t="s">
        <v>19</v>
      </c>
      <c r="D9" s="6" t="s">
        <v>22</v>
      </c>
      <c r="E9" s="50"/>
    </row>
    <row r="10" spans="1:8" x14ac:dyDescent="0.25">
      <c r="A10" s="7"/>
      <c r="B10" s="3"/>
      <c r="C10" s="7"/>
      <c r="D10" s="9"/>
      <c r="E10" s="7"/>
      <c r="F10" s="7"/>
      <c r="G10" s="7"/>
      <c r="H10" s="7"/>
    </row>
    <row r="11" spans="1:8" ht="63.75" customHeight="1" x14ac:dyDescent="0.25">
      <c r="A11" s="2" t="s">
        <v>23</v>
      </c>
      <c r="B11" s="4" t="s">
        <v>24</v>
      </c>
      <c r="C11" s="8" t="s">
        <v>25</v>
      </c>
      <c r="D11" s="6" t="s">
        <v>26</v>
      </c>
      <c r="E11" s="48" t="s">
        <v>27</v>
      </c>
    </row>
    <row r="12" spans="1:8" x14ac:dyDescent="0.25">
      <c r="A12" s="7"/>
      <c r="B12" s="3"/>
      <c r="C12" s="7"/>
      <c r="D12" s="9"/>
      <c r="E12" s="7"/>
      <c r="F12" s="7"/>
      <c r="G12" s="7"/>
      <c r="H12" s="7"/>
    </row>
    <row r="13" spans="1:8" ht="57.6" customHeight="1" x14ac:dyDescent="0.25">
      <c r="A13" s="49" t="s">
        <v>28</v>
      </c>
      <c r="B13" s="2" t="s">
        <v>29</v>
      </c>
      <c r="C13" s="5" t="s">
        <v>30</v>
      </c>
      <c r="D13" s="6" t="s">
        <v>31</v>
      </c>
      <c r="E13" s="50" t="s">
        <v>32</v>
      </c>
    </row>
    <row r="14" spans="1:8" ht="57.6" customHeight="1" x14ac:dyDescent="0.25">
      <c r="A14" s="49"/>
      <c r="B14" s="2" t="s">
        <v>29</v>
      </c>
      <c r="C14" s="5" t="s">
        <v>30</v>
      </c>
      <c r="D14" s="6" t="s">
        <v>33</v>
      </c>
      <c r="E14" s="51"/>
    </row>
    <row r="15" spans="1:8" ht="57.6" customHeight="1" x14ac:dyDescent="0.25">
      <c r="A15" s="49"/>
      <c r="B15" s="2" t="s">
        <v>29</v>
      </c>
      <c r="C15" s="5" t="s">
        <v>30</v>
      </c>
      <c r="D15" s="6" t="s">
        <v>34</v>
      </c>
      <c r="E15" s="51"/>
    </row>
  </sheetData>
  <mergeCells count="5">
    <mergeCell ref="A2:A9"/>
    <mergeCell ref="E13:E15"/>
    <mergeCell ref="A13:A15"/>
    <mergeCell ref="E2:E7"/>
    <mergeCell ref="E8:E9"/>
  </mergeCells>
  <hyperlinks>
    <hyperlink ref="D8" r:id="rId1" xr:uid="{86977109-A78E-4862-8D02-AD83A2727272}"/>
    <hyperlink ref="D9" r:id="rId2" xr:uid="{21A41851-8D2E-4F88-8A5F-5B4FB588CF09}"/>
    <hyperlink ref="D11" r:id="rId3" xr:uid="{FBCD994A-407D-4D25-9267-DA31D06BCAED}"/>
    <hyperlink ref="D2" r:id="rId4" xr:uid="{AAF9EF53-9749-45D1-98F6-E23999D9C8DE}"/>
    <hyperlink ref="D3" r:id="rId5" xr:uid="{68017392-B602-48F1-A37C-05C3B1E70B48}"/>
    <hyperlink ref="D4" r:id="rId6" xr:uid="{EA6B4AD2-2E02-4315-B27B-D8D6E0B6B489}"/>
    <hyperlink ref="D5" r:id="rId7" xr:uid="{43EBAE1C-81C0-4816-B3D2-D8354B520512}"/>
    <hyperlink ref="D6" r:id="rId8" xr:uid="{1620EADF-839F-4C4F-86D0-894A48CE78B0}"/>
    <hyperlink ref="D7" r:id="rId9" xr:uid="{3DDDDC0E-872C-4DA4-B516-8CD2E958BA9B}"/>
    <hyperlink ref="D13" r:id="rId10" xr:uid="{1CA6E3F6-9505-4E39-9621-26727DF94802}"/>
    <hyperlink ref="D14" r:id="rId11" xr:uid="{2DEAF4C7-1336-4550-BD72-F98984CBB7C9}"/>
    <hyperlink ref="D15" r:id="rId12" xr:uid="{864101C6-6DC1-4E75-B849-4D5CC82E8F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779E2-D018-49FD-8850-7570C42368D4}">
  <dimension ref="A1:M16"/>
  <sheetViews>
    <sheetView workbookViewId="0">
      <selection activeCell="F4" sqref="F4"/>
    </sheetView>
  </sheetViews>
  <sheetFormatPr defaultRowHeight="15" x14ac:dyDescent="0.25"/>
  <cols>
    <col min="1" max="1" width="44.140625" customWidth="1"/>
    <col min="2" max="2" width="31" customWidth="1"/>
    <col min="3" max="3" width="25" customWidth="1"/>
    <col min="4" max="4" width="33.85546875" customWidth="1"/>
    <col min="5" max="5" width="18.28515625" customWidth="1"/>
    <col min="6" max="6" width="32.28515625" customWidth="1"/>
  </cols>
  <sheetData>
    <row r="1" spans="1:13" ht="30" customHeight="1" x14ac:dyDescent="0.25">
      <c r="A1" s="13" t="s">
        <v>35</v>
      </c>
      <c r="B1" s="13" t="s">
        <v>36</v>
      </c>
      <c r="C1" s="14"/>
      <c r="D1" s="14"/>
      <c r="E1" s="14"/>
      <c r="F1" s="15"/>
      <c r="G1" s="16"/>
      <c r="H1" s="15"/>
      <c r="I1" s="15"/>
      <c r="J1" s="15"/>
      <c r="K1" s="15"/>
      <c r="L1" s="17"/>
      <c r="M1" s="18"/>
    </row>
    <row r="2" spans="1:13" ht="21.75" customHeight="1" x14ac:dyDescent="0.25">
      <c r="A2" s="13" t="s">
        <v>37</v>
      </c>
      <c r="B2" s="13" t="s">
        <v>38</v>
      </c>
      <c r="C2" s="14"/>
      <c r="D2" s="14"/>
      <c r="E2" s="14"/>
      <c r="F2" s="15"/>
      <c r="G2" s="16"/>
      <c r="H2" s="15"/>
      <c r="I2" s="15"/>
      <c r="J2" s="15"/>
      <c r="K2" s="15"/>
      <c r="L2" s="17"/>
      <c r="M2" s="18"/>
    </row>
    <row r="3" spans="1:13" ht="36" customHeight="1" x14ac:dyDescent="0.25">
      <c r="A3" s="13" t="s">
        <v>39</v>
      </c>
      <c r="B3" s="52" t="s">
        <v>40</v>
      </c>
      <c r="C3" s="53"/>
      <c r="D3" s="14"/>
      <c r="E3" s="14"/>
      <c r="F3" s="15"/>
      <c r="G3" s="16"/>
      <c r="H3" s="15"/>
      <c r="I3" s="15"/>
      <c r="J3" s="15"/>
      <c r="K3" s="15"/>
      <c r="L3" s="17"/>
      <c r="M3" s="18"/>
    </row>
    <row r="4" spans="1:13" ht="75.75" customHeight="1" x14ac:dyDescent="0.25">
      <c r="A4" s="13" t="s">
        <v>41</v>
      </c>
      <c r="B4" s="19">
        <v>46140</v>
      </c>
      <c r="C4" s="20" t="s">
        <v>42</v>
      </c>
      <c r="D4" s="21"/>
      <c r="E4" s="21"/>
      <c r="F4" s="15"/>
      <c r="G4" s="16"/>
      <c r="H4" s="15"/>
      <c r="I4" s="15"/>
      <c r="J4" s="15"/>
      <c r="K4" s="15"/>
      <c r="L4" s="17"/>
      <c r="M4" s="22"/>
    </row>
    <row r="5" spans="1:13" ht="17.25" customHeight="1" x14ac:dyDescent="0.25">
      <c r="A5" s="13" t="s">
        <v>43</v>
      </c>
      <c r="B5" s="19">
        <v>46221</v>
      </c>
      <c r="C5" s="22"/>
      <c r="D5" s="22"/>
      <c r="E5" s="22"/>
      <c r="F5" s="15"/>
      <c r="G5" s="16"/>
      <c r="H5" s="15"/>
      <c r="I5" s="15"/>
      <c r="J5" s="15"/>
      <c r="K5" s="15"/>
      <c r="L5" s="17"/>
      <c r="M5" s="22"/>
    </row>
    <row r="6" spans="1:13" ht="30.75" customHeight="1" x14ac:dyDescent="0.25">
      <c r="A6" s="13" t="s">
        <v>44</v>
      </c>
      <c r="B6" s="13">
        <v>82</v>
      </c>
      <c r="C6" s="14"/>
      <c r="D6" s="14"/>
      <c r="E6" s="14"/>
      <c r="F6" s="15"/>
      <c r="G6" s="16"/>
      <c r="H6" s="15"/>
      <c r="I6" s="15"/>
      <c r="J6" s="15"/>
      <c r="K6" s="15"/>
      <c r="L6" s="17"/>
      <c r="M6" s="18"/>
    </row>
    <row r="7" spans="1:13" ht="18.75" x14ac:dyDescent="0.25">
      <c r="A7" s="13" t="s">
        <v>45</v>
      </c>
      <c r="B7" s="23" t="s">
        <v>46</v>
      </c>
      <c r="C7" s="24"/>
      <c r="D7" s="24"/>
      <c r="E7" s="24"/>
      <c r="F7" s="15"/>
      <c r="G7" s="16"/>
      <c r="H7" s="15"/>
      <c r="I7" s="15"/>
      <c r="J7" s="15"/>
      <c r="K7" s="15"/>
      <c r="L7" s="18"/>
      <c r="M7" s="18"/>
    </row>
    <row r="8" spans="1:13" ht="21" customHeight="1" x14ac:dyDescent="0.25">
      <c r="A8" s="13" t="s">
        <v>47</v>
      </c>
      <c r="B8" s="25">
        <v>35000</v>
      </c>
      <c r="C8" s="24"/>
      <c r="D8" s="24"/>
      <c r="E8" s="24"/>
      <c r="F8" s="26"/>
      <c r="G8" s="16"/>
      <c r="H8" s="26"/>
      <c r="I8" s="26"/>
      <c r="J8" s="26"/>
      <c r="K8" s="26"/>
      <c r="L8" s="18"/>
      <c r="M8" s="27"/>
    </row>
    <row r="9" spans="1:13" ht="18.75" x14ac:dyDescent="0.25">
      <c r="A9" s="13" t="s">
        <v>48</v>
      </c>
      <c r="B9" s="28" t="s">
        <v>49</v>
      </c>
      <c r="C9" s="24"/>
      <c r="D9" s="24"/>
      <c r="E9" s="24"/>
      <c r="F9" s="26"/>
      <c r="G9" s="16"/>
      <c r="H9" s="26"/>
      <c r="I9" s="26"/>
      <c r="J9" s="26"/>
      <c r="K9" s="26"/>
      <c r="L9" s="18"/>
      <c r="M9" s="27"/>
    </row>
    <row r="10" spans="1:13" ht="8.25" customHeight="1" x14ac:dyDescent="0.25">
      <c r="A10" s="11"/>
      <c r="B10" s="29"/>
      <c r="C10" s="29"/>
      <c r="D10" s="29"/>
      <c r="E10" s="29"/>
      <c r="F10" s="30"/>
      <c r="G10" s="30"/>
      <c r="H10" s="31"/>
      <c r="I10" s="31"/>
      <c r="J10" s="31"/>
      <c r="K10" s="32"/>
      <c r="L10" s="12"/>
      <c r="M10" s="12"/>
    </row>
    <row r="11" spans="1:13" ht="72" x14ac:dyDescent="0.25">
      <c r="A11" s="33" t="s">
        <v>50</v>
      </c>
      <c r="B11" s="33" t="s">
        <v>1</v>
      </c>
      <c r="C11" s="33" t="s">
        <v>51</v>
      </c>
      <c r="D11" s="33" t="s">
        <v>52</v>
      </c>
      <c r="E11" s="33" t="s">
        <v>53</v>
      </c>
      <c r="F11" s="33" t="s">
        <v>54</v>
      </c>
      <c r="G11" s="33" t="s">
        <v>55</v>
      </c>
      <c r="H11" s="33" t="s">
        <v>56</v>
      </c>
      <c r="I11" s="33" t="s">
        <v>57</v>
      </c>
      <c r="J11" s="33" t="s">
        <v>58</v>
      </c>
      <c r="K11" s="33" t="s">
        <v>59</v>
      </c>
      <c r="L11" s="33" t="s">
        <v>60</v>
      </c>
      <c r="M11" s="34" t="s">
        <v>61</v>
      </c>
    </row>
    <row r="12" spans="1:13" ht="214.5" customHeight="1" x14ac:dyDescent="0.25">
      <c r="A12" s="35" t="s">
        <v>8</v>
      </c>
      <c r="B12" s="36" t="s">
        <v>62</v>
      </c>
      <c r="C12" s="36" t="s">
        <v>63</v>
      </c>
      <c r="D12" s="36" t="s">
        <v>64</v>
      </c>
      <c r="E12" s="36" t="s">
        <v>65</v>
      </c>
      <c r="F12" s="36" t="s">
        <v>66</v>
      </c>
      <c r="G12" s="37">
        <f>(M12/L12)*1000</f>
        <v>444444.44444444444</v>
      </c>
      <c r="H12" s="36">
        <v>4</v>
      </c>
      <c r="I12" s="37">
        <f>G12/H12</f>
        <v>111111.11111111111</v>
      </c>
      <c r="J12" s="37">
        <f>G12*K12</f>
        <v>444.44444444444446</v>
      </c>
      <c r="K12" s="38">
        <v>1E-3</v>
      </c>
      <c r="L12" s="39">
        <v>18</v>
      </c>
      <c r="M12" s="39">
        <v>8000</v>
      </c>
    </row>
    <row r="13" spans="1:13" ht="297.75" customHeight="1" x14ac:dyDescent="0.25">
      <c r="A13" s="35" t="s">
        <v>67</v>
      </c>
      <c r="B13" s="36" t="s">
        <v>68</v>
      </c>
      <c r="C13" s="36" t="s">
        <v>69</v>
      </c>
      <c r="D13" s="36" t="s">
        <v>70</v>
      </c>
      <c r="E13" s="36" t="s">
        <v>71</v>
      </c>
      <c r="F13" s="36" t="s">
        <v>66</v>
      </c>
      <c r="G13" s="37">
        <f t="shared" ref="G13:G15" si="0">(M13/L13)*1000</f>
        <v>100000</v>
      </c>
      <c r="H13" s="36">
        <v>5</v>
      </c>
      <c r="I13" s="37">
        <f t="shared" ref="I13:I15" si="1">G13/H13</f>
        <v>20000</v>
      </c>
      <c r="J13" s="37">
        <f t="shared" ref="J13:J15" si="2">G13*K13</f>
        <v>650</v>
      </c>
      <c r="K13" s="38">
        <v>6.4999999999999997E-3</v>
      </c>
      <c r="L13" s="39">
        <v>60</v>
      </c>
      <c r="M13" s="40">
        <v>6000</v>
      </c>
    </row>
    <row r="14" spans="1:13" ht="240" customHeight="1" x14ac:dyDescent="0.25">
      <c r="A14" s="35" t="s">
        <v>23</v>
      </c>
      <c r="B14" s="36" t="s">
        <v>68</v>
      </c>
      <c r="C14" s="36" t="s">
        <v>72</v>
      </c>
      <c r="D14" s="36" t="s">
        <v>73</v>
      </c>
      <c r="E14" s="36" t="s">
        <v>74</v>
      </c>
      <c r="F14" s="36" t="s">
        <v>66</v>
      </c>
      <c r="G14" s="37">
        <f>(M14/L14)*1000</f>
        <v>175000</v>
      </c>
      <c r="H14" s="36">
        <v>5</v>
      </c>
      <c r="I14" s="37">
        <f t="shared" si="1"/>
        <v>35000</v>
      </c>
      <c r="J14" s="37">
        <f t="shared" si="2"/>
        <v>1137.5</v>
      </c>
      <c r="K14" s="38">
        <v>6.4999999999999997E-3</v>
      </c>
      <c r="L14" s="41">
        <v>80</v>
      </c>
      <c r="M14" s="42">
        <v>14000</v>
      </c>
    </row>
    <row r="15" spans="1:13" ht="250.5" customHeight="1" x14ac:dyDescent="0.25">
      <c r="A15" s="35" t="s">
        <v>28</v>
      </c>
      <c r="B15" s="36" t="s">
        <v>68</v>
      </c>
      <c r="C15" s="36" t="s">
        <v>75</v>
      </c>
      <c r="D15" s="36" t="s">
        <v>76</v>
      </c>
      <c r="E15" s="36" t="s">
        <v>77</v>
      </c>
      <c r="F15" s="36" t="s">
        <v>66</v>
      </c>
      <c r="G15" s="37">
        <f t="shared" si="0"/>
        <v>93333.333333333328</v>
      </c>
      <c r="H15" s="36">
        <v>5</v>
      </c>
      <c r="I15" s="37">
        <f t="shared" si="1"/>
        <v>18666.666666666664</v>
      </c>
      <c r="J15" s="37">
        <f t="shared" si="2"/>
        <v>513.33333333333326</v>
      </c>
      <c r="K15" s="38">
        <v>5.4999999999999997E-3</v>
      </c>
      <c r="L15" s="41">
        <v>75</v>
      </c>
      <c r="M15" s="43">
        <v>7000</v>
      </c>
    </row>
    <row r="16" spans="1:13" ht="23.25" x14ac:dyDescent="0.25">
      <c r="A16" s="44"/>
      <c r="B16" s="44"/>
      <c r="C16" s="44"/>
      <c r="D16" s="44"/>
      <c r="E16" s="44"/>
      <c r="F16" s="45"/>
      <c r="G16" s="45">
        <f>SUM(G12:G15)</f>
        <v>812777.77777777787</v>
      </c>
      <c r="H16" s="45"/>
      <c r="I16" s="45">
        <f>SUM(I12:I15)</f>
        <v>184777.77777777778</v>
      </c>
      <c r="J16" s="45">
        <f>SUM(J12:J15)</f>
        <v>2745.2777777777774</v>
      </c>
      <c r="K16" s="45"/>
      <c r="L16" s="46"/>
      <c r="M16" s="47">
        <v>35000</v>
      </c>
    </row>
  </sheetData>
  <mergeCells count="1">
    <mergeCell ref="B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862B-8C55-4662-B420-378FF634B82E}">
  <dimension ref="A1"/>
  <sheetViews>
    <sheetView workbookViewId="0">
      <selection activeCell="G25" sqref="G25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D5B5947FF594449A61739F6E0374D6" ma:contentTypeVersion="19" ma:contentTypeDescription="Create a new document." ma:contentTypeScope="" ma:versionID="2557928d720be6f9f1f54dc6b222e71b">
  <xsd:schema xmlns:xsd="http://www.w3.org/2001/XMLSchema" xmlns:xs="http://www.w3.org/2001/XMLSchema" xmlns:p="http://schemas.microsoft.com/office/2006/metadata/properties" xmlns:ns2="5b23d653-1b5a-4b77-adc5-d9ba649dce8a" xmlns:ns3="46a33283-d9f4-492e-8bff-a0bd342117c0" targetNamespace="http://schemas.microsoft.com/office/2006/metadata/properties" ma:root="true" ma:fieldsID="b628ba0ec55ea3a7349db244240ec8cc" ns2:_="" ns3:_="">
    <xsd:import namespace="5b23d653-1b5a-4b77-adc5-d9ba649dce8a"/>
    <xsd:import namespace="46a33283-d9f4-492e-8bff-a0bd342117c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23d653-1b5a-4b77-adc5-d9ba649dce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bd6770f-8290-45f9-a731-0268ad9673ac}" ma:internalName="TaxCatchAll" ma:showField="CatchAllData" ma:web="5b23d653-1b5a-4b77-adc5-d9ba649dce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33283-d9f4-492e-8bff-a0bd342117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4eaff44-c540-41cb-a9cc-83c40c3e35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23d653-1b5a-4b77-adc5-d9ba649dce8a" xsi:nil="true"/>
    <lcf76f155ced4ddcb4097134ff3c332f xmlns="46a33283-d9f4-492e-8bff-a0bd342117c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A227BE-9B18-42DA-913C-D4B73EE130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23d653-1b5a-4b77-adc5-d9ba649dce8a"/>
    <ds:schemaRef ds:uri="46a33283-d9f4-492e-8bff-a0bd342117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F133F6-D47A-44B8-9244-483151D1DC48}">
  <ds:schemaRefs>
    <ds:schemaRef ds:uri="http://schemas.microsoft.com/office/2006/metadata/properties"/>
    <ds:schemaRef ds:uri="http://schemas.microsoft.com/office/infopath/2007/PartnerControls"/>
    <ds:schemaRef ds:uri="5b23d653-1b5a-4b77-adc5-d9ba649dce8a"/>
    <ds:schemaRef ds:uri="46a33283-d9f4-492e-8bff-a0bd342117c0"/>
  </ds:schemaRefs>
</ds:datastoreItem>
</file>

<file path=customXml/itemProps3.xml><?xml version="1.0" encoding="utf-8"?>
<ds:datastoreItem xmlns:ds="http://schemas.openxmlformats.org/officeDocument/2006/customXml" ds:itemID="{BFC82C8A-DDED-4132-BAD7-D8238B1498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Creative and CTAs</vt:lpstr>
      <vt:lpstr>Media Plan</vt:lpstr>
      <vt:lpstr>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Melissa Callo</cp:lastModifiedBy>
  <cp:revision/>
  <dcterms:created xsi:type="dcterms:W3CDTF">2026-05-21T01:46:19Z</dcterms:created>
  <dcterms:modified xsi:type="dcterms:W3CDTF">2026-06-05T06:09:50Z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0x0101004FD5B5947FF594449A61739F6E0374D6</vt:lpwstr>
  </property>
  <property fmtid="{D5CDD505-2E9C-101B-9397-08002B2CF9AE}" pid="3" name="MediaServiceImageTags">
    <vt:lpwstr/>
  </property>
</Properties>
</file>