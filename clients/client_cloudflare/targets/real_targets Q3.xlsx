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45651A1-7BEE-4B55-A1B3-14DA3360F9B1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APAC + JP Activation Plan" sheetId="3" r:id="rId1"/>
    <sheet name="APAC Activation Plan" sheetId="4" r:id="rId2"/>
    <sheet name="JP Activation Plan" sheetId="5" r:id="rId3"/>
    <sheet name="Platform Allocation" sheetId="8" r:id="rId4"/>
  </sheets>
  <definedNames>
    <definedName name="_xlnm.Print_Area" localSheetId="1">'APAC Activation Plan'!$A$1:$N$88</definedName>
    <definedName name="_xlnm.Print_Area" localSheetId="2">'JP Activation Plan'!$A$1:$N$32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8" l="1"/>
  <c r="D24" i="8"/>
  <c r="E23" i="8"/>
  <c r="E22" i="8"/>
  <c r="E21" i="8"/>
  <c r="E20" i="8"/>
  <c r="D10" i="8"/>
  <c r="E9" i="8"/>
  <c r="E8" i="8"/>
  <c r="E7" i="8"/>
  <c r="H24" i="5"/>
  <c r="L23" i="5"/>
  <c r="J23" i="5"/>
  <c r="L22" i="5"/>
  <c r="J22" i="5"/>
  <c r="L21" i="5"/>
  <c r="J21" i="5"/>
  <c r="L20" i="5"/>
  <c r="J20" i="5"/>
  <c r="L19" i="5"/>
  <c r="J19" i="5"/>
  <c r="L18" i="5"/>
  <c r="J18" i="5"/>
  <c r="G13" i="5"/>
  <c r="H83" i="4"/>
  <c r="L82" i="4"/>
  <c r="J82" i="4"/>
  <c r="L81" i="4"/>
  <c r="J81" i="4"/>
  <c r="L80" i="4"/>
  <c r="J80" i="4"/>
  <c r="H78" i="4"/>
  <c r="L77" i="4"/>
  <c r="J77" i="4"/>
  <c r="L76" i="4"/>
  <c r="J76" i="4"/>
  <c r="L75" i="4"/>
  <c r="J75" i="4"/>
  <c r="H73" i="4"/>
  <c r="L72" i="4"/>
  <c r="J72" i="4"/>
  <c r="L71" i="4"/>
  <c r="J71" i="4"/>
  <c r="M70" i="4"/>
  <c r="L70" i="4"/>
  <c r="J70" i="4"/>
  <c r="H68" i="4"/>
  <c r="L67" i="4"/>
  <c r="J67" i="4"/>
  <c r="L66" i="4"/>
  <c r="J66" i="4"/>
  <c r="L65" i="4"/>
  <c r="J65" i="4"/>
  <c r="L64" i="4"/>
  <c r="J64" i="4"/>
  <c r="M63" i="4"/>
  <c r="L63" i="4"/>
  <c r="J63" i="4"/>
  <c r="H61" i="4"/>
  <c r="L60" i="4"/>
  <c r="J60" i="4"/>
  <c r="L59" i="4"/>
  <c r="J59" i="4"/>
  <c r="L58" i="4"/>
  <c r="J58" i="4"/>
  <c r="L57" i="4"/>
  <c r="J57" i="4"/>
  <c r="L56" i="4"/>
  <c r="J56" i="4"/>
  <c r="H54" i="4"/>
  <c r="L53" i="4"/>
  <c r="J53" i="4"/>
  <c r="L52" i="4"/>
  <c r="J52" i="4"/>
  <c r="L51" i="4"/>
  <c r="J51" i="4"/>
  <c r="L50" i="4"/>
  <c r="J50" i="4"/>
  <c r="L49" i="4"/>
  <c r="J49" i="4"/>
  <c r="L48" i="4"/>
  <c r="J48" i="4"/>
  <c r="L47" i="4"/>
  <c r="J47" i="4"/>
  <c r="L46" i="4"/>
  <c r="J46" i="4"/>
  <c r="H44" i="4"/>
  <c r="L43" i="4"/>
  <c r="J43" i="4"/>
  <c r="M42" i="4"/>
  <c r="L42" i="4"/>
  <c r="J42" i="4"/>
  <c r="L41" i="4"/>
  <c r="J41" i="4"/>
  <c r="L40" i="4"/>
  <c r="J40" i="4"/>
  <c r="L39" i="4"/>
  <c r="J39" i="4"/>
  <c r="L38" i="4"/>
  <c r="J38" i="4"/>
  <c r="L37" i="4"/>
  <c r="J37" i="4"/>
  <c r="L36" i="4"/>
  <c r="J36" i="4"/>
  <c r="L35" i="4"/>
  <c r="J35" i="4"/>
  <c r="C27" i="4"/>
  <c r="D26" i="4"/>
  <c r="D25" i="4"/>
  <c r="D24" i="4"/>
  <c r="F20" i="4"/>
  <c r="E20" i="4"/>
  <c r="D20" i="4"/>
  <c r="G18" i="4"/>
  <c r="G17" i="4"/>
  <c r="G16" i="4"/>
  <c r="G15" i="4"/>
  <c r="G14" i="4"/>
  <c r="G13" i="4"/>
  <c r="G12" i="4"/>
  <c r="F4" i="3"/>
  <c r="E4" i="3"/>
  <c r="D4" i="3"/>
  <c r="F3" i="3"/>
  <c r="E3" i="3"/>
  <c r="D3" i="3"/>
  <c r="M67" i="4" l="1"/>
  <c r="M66" i="4"/>
  <c r="M65" i="4"/>
  <c r="M64" i="4"/>
  <c r="M80" i="4"/>
  <c r="M60" i="4"/>
  <c r="M59" i="4"/>
  <c r="M58" i="4"/>
  <c r="M57" i="4"/>
  <c r="M43" i="4"/>
  <c r="M39" i="4"/>
  <c r="M37" i="4"/>
  <c r="M36" i="4"/>
  <c r="M35" i="4"/>
  <c r="D27" i="4"/>
  <c r="G20" i="4"/>
  <c r="E10" i="8"/>
  <c r="M22" i="5"/>
  <c r="M20" i="5"/>
  <c r="M18" i="5"/>
  <c r="M82" i="4"/>
  <c r="M81" i="4"/>
  <c r="M77" i="4"/>
  <c r="M75" i="4"/>
  <c r="M56" i="4"/>
  <c r="M53" i="4"/>
  <c r="M52" i="4"/>
  <c r="M51" i="4"/>
  <c r="M50" i="4"/>
  <c r="M49" i="4"/>
  <c r="M48" i="4"/>
  <c r="M47" i="4"/>
  <c r="M46" i="4"/>
  <c r="M41" i="4"/>
  <c r="M40" i="4"/>
  <c r="M38" i="4"/>
  <c r="G4" i="3"/>
  <c r="E24" i="8"/>
  <c r="M23" i="5"/>
  <c r="M21" i="5"/>
  <c r="M19" i="5"/>
  <c r="H84" i="4"/>
  <c r="M76" i="4"/>
  <c r="M72" i="4"/>
  <c r="M71" i="4"/>
  <c r="C15" i="4" l="1"/>
  <c r="C16" i="4"/>
  <c r="G3" i="3"/>
  <c r="G18" i="3" s="1"/>
  <c r="G22" i="3" s="1"/>
  <c r="C14" i="4"/>
  <c r="C17" i="4"/>
  <c r="C13" i="4"/>
  <c r="C18" i="4"/>
  <c r="C12" i="4"/>
  <c r="C20" i="4" s="1"/>
  <c r="G19" i="3" l="1"/>
  <c r="G21" i="3"/>
  <c r="G20" i="3"/>
</calcChain>
</file>

<file path=xl/sharedStrings.xml><?xml version="1.0" encoding="utf-8"?>
<sst xmlns="http://schemas.openxmlformats.org/spreadsheetml/2006/main" count="508" uniqueCount="231">
  <si>
    <t>Quarter</t>
  </si>
  <si>
    <t>APAC budget</t>
  </si>
  <si>
    <t>JP budget</t>
  </si>
  <si>
    <t>ANZ</t>
  </si>
  <si>
    <t>ASEAN</t>
  </si>
  <si>
    <t>SAARC India</t>
  </si>
  <si>
    <t>GCR-HK</t>
  </si>
  <si>
    <t>GCR-CN</t>
  </si>
  <si>
    <t>GCR-TW</t>
  </si>
  <si>
    <t>KR</t>
  </si>
  <si>
    <t>Persuasion</t>
  </si>
  <si>
    <t>GEO</t>
  </si>
  <si>
    <t>Programmatic (TTD)</t>
  </si>
  <si>
    <t>Social Awareness</t>
  </si>
  <si>
    <t>Lead Gen</t>
  </si>
  <si>
    <t>Total Regional</t>
  </si>
  <si>
    <t>Estimated Total Leads</t>
  </si>
  <si>
    <t>CPL</t>
  </si>
  <si>
    <t>APAC</t>
  </si>
  <si>
    <t>Japan</t>
  </si>
  <si>
    <t>Precision</t>
  </si>
  <si>
    <t>Geo</t>
  </si>
  <si>
    <t>2 Touch MQLs</t>
  </si>
  <si>
    <t xml:space="preserve">Estimated Total Leads </t>
  </si>
  <si>
    <t>Conversion</t>
  </si>
  <si>
    <t>2 Touch MQLs + Pulse Survey</t>
  </si>
  <si>
    <t>2 Touch MQLs + Qualification Questions</t>
  </si>
  <si>
    <t>Total Media Spend USD</t>
  </si>
  <si>
    <t xml:space="preserve"> 7% Media Planning &amp; Buying</t>
  </si>
  <si>
    <t>6% Media Reporting &amp; Optimisation</t>
  </si>
  <si>
    <t>4% Technology &amp; Lead Management:</t>
  </si>
  <si>
    <t>Total Program Budget USD</t>
  </si>
  <si>
    <t>Persuasion : Paid Media Lead Gen Goals (Q3 FY26)</t>
  </si>
  <si>
    <t>Region</t>
  </si>
  <si>
    <t>Platform</t>
  </si>
  <si>
    <t>Lead-gen Budget</t>
  </si>
  <si>
    <t>Planning CPL</t>
  </si>
  <si>
    <t>Commit Leads</t>
  </si>
  <si>
    <t>LinkedIn</t>
  </si>
  <si>
    <t>TTD</t>
  </si>
  <si>
    <t>n/a</t>
  </si>
  <si>
    <t>YouTube</t>
  </si>
  <si>
    <t>APAC subtotal (LinkedIn)</t>
  </si>
  <si>
    <t>Total incl Japan</t>
  </si>
  <si>
    <t>Client</t>
  </si>
  <si>
    <t>Cloudflare</t>
  </si>
  <si>
    <t>Campaign</t>
  </si>
  <si>
    <t>Q3 FY26 Core Demand Generation : APAC</t>
  </si>
  <si>
    <t>Q3 FY26</t>
  </si>
  <si>
    <t>Start date</t>
  </si>
  <si>
    <t>2026-07-01</t>
  </si>
  <si>
    <t>End date</t>
  </si>
  <si>
    <t>2026-09-30</t>
  </si>
  <si>
    <t>Duration (days)</t>
  </si>
  <si>
    <t>$104,580.00</t>
  </si>
  <si>
    <t>REGIONAL BUDGET SUMMARY (APAC)</t>
  </si>
  <si>
    <t>% of APAC</t>
  </si>
  <si>
    <t>Social Awareness (LinkedIn)</t>
  </si>
  <si>
    <t>Lead Gen (LinkedIn / YouTube)</t>
  </si>
  <si>
    <t>Channels in scope</t>
  </si>
  <si>
    <t>LinkedIn + TTD</t>
  </si>
  <si>
    <t>SAARC (IN)</t>
  </si>
  <si>
    <t>GCR - CN</t>
  </si>
  <si>
    <t>TTD only (double-gated)</t>
  </si>
  <si>
    <t>GCR - HK</t>
  </si>
  <si>
    <t>GCR - TW</t>
  </si>
  <si>
    <t>TTD only</t>
  </si>
  <si>
    <t>APAC TOTAL</t>
  </si>
  <si>
    <t>SAME BUDGETS, CUT BY ACTUAL PLATFORM (TTD / LinkedIn)</t>
  </si>
  <si>
    <t>The table above shows budget through CF's channel structure (Prog Awareness / Social Awareness / Social Lead Gen). This table below shows the same dollars by actual platform. TTD is higher than the LinkedIn column in the TTD-only markets because the CN, TW and KR budgets all run on TTD, plus the CN/TW/KR reallocated social (no social platforms in scope) get reallocated to TTD.</t>
  </si>
  <si>
    <t>Budget USD</t>
  </si>
  <si>
    <t>Source breakdown</t>
  </si>
  <si>
    <t>LinkedIn awareness + lead gen across ANZ, ASEAN, India and HK</t>
  </si>
  <si>
    <t>All programmatic across CN, TW and KR (TTD-only) plus a retargeting line in every market</t>
  </si>
  <si>
    <t>Reddit</t>
  </si>
  <si>
    <t>Dropped in Q3 (K2). Its ANZ budget moved to LinkedIn lead gen</t>
  </si>
  <si>
    <t>Matches Regional Total of $104,580 (same dollars, different view)</t>
  </si>
  <si>
    <t>See Platform Allocation sheet for the full reconciliation table.</t>
  </si>
  <si>
    <t>PROGRAM SCHEDULE : APAC</t>
  </si>
  <si>
    <t>Phase</t>
  </si>
  <si>
    <t>Audience</t>
  </si>
  <si>
    <t>Targeting</t>
  </si>
  <si>
    <t>Weight</t>
  </si>
  <si>
    <t>CPM</t>
  </si>
  <si>
    <t>CPC</t>
  </si>
  <si>
    <t>CTR</t>
  </si>
  <si>
    <t>Impressions</t>
  </si>
  <si>
    <t>Clicks</t>
  </si>
  <si>
    <t>Cost Type</t>
  </si>
  <si>
    <t>ANZ : $52,290.00 (50.0% of APAC) : LinkedIn (PEYC) + TTD : RIG folded into ANZ LinkedIn, now the PEYC campaign</t>
  </si>
  <si>
    <t>Regional total →</t>
  </si>
  <si>
    <t>Programmatic AWR</t>
  </si>
  <si>
    <t>Decision-makers at TAL accounts (AU + NZ)</t>
  </si>
  <si>
    <t>B2Beacon : ABM, seniority and industry baked in on the Bombora push</t>
  </si>
  <si>
    <t>Decision-makers in target industries, scaled reach (AU + NZ)</t>
  </si>
  <si>
    <t>Premium publisher whitelist + 3PA decision-makers + 3PA target industries</t>
  </si>
  <si>
    <t>Programmatic RTG</t>
  </si>
  <si>
    <t>Site visitors, no additional filters (AU + NZ)</t>
  </si>
  <si>
    <t>Retargeting : Universal Pixel site-visit pool, no seniority or industry filter</t>
  </si>
  <si>
    <t>Social Lead Gen</t>
  </si>
  <si>
    <t>Warm retargeting pools: website all-visitors, AI-security, LP and PEYC-LP 180d, image-clickers and video-viewers 365d, LGF-openers 180d (AU + NZ)</t>
  </si>
  <si>
    <t>MOFU Document with LGF (CONSID-DOC) : warm retargeting</t>
  </si>
  <si>
    <t>Social AWR</t>
  </si>
  <si>
    <t>Cold lists plus seniority and function (AU + NZ)</t>
  </si>
  <si>
    <t>TOFU Carousel (AWR-CRSL) : website visits</t>
  </si>
  <si>
    <t>Cold lists plus seniority and function, tighter frequency cap (AU + NZ)</t>
  </si>
  <si>
    <t>TOFU Video (AWR-VID) : video views, frequency capped</t>
  </si>
  <si>
    <t>LGF openers and submitters plus T3-Extended-TAL (AU + NZ)</t>
  </si>
  <si>
    <t>BOFU AI Tour web conversion (BOFU-AI) : web traffic</t>
  </si>
  <si>
    <t>TOFU SIA (AWR-SI) : website visits</t>
  </si>
  <si>
    <t>Warm engagers only: image-clickers and video-viewers 365d and LGF-openers 180d; cold company list removed (AU + NZ)</t>
  </si>
  <si>
    <t>BOFU Workshop Sign-up SIA with LGF (BOFU-SIA) : warm-only audience</t>
  </si>
  <si>
    <t>subtotal</t>
  </si>
  <si>
    <t>ASEAN : $19,870.20 (19.0% of APAC) : LinkedIn + TTD : awareness SIM 60 / RoA 40 approved, consideration combined across all 6</t>
  </si>
  <si>
    <t>ASEAN-SIM</t>
  </si>
  <si>
    <t>Decision-makers at SIM TAL accounts (SG, MY, ID)</t>
  </si>
  <si>
    <t>TAL : B2Beacon ABM, seniority and industry baked in on the Bombora push</t>
  </si>
  <si>
    <t>Decision-makers in target industries, SIM scaled reach (SG, MY, ID)</t>
  </si>
  <si>
    <t>ASEAN-ROA</t>
  </si>
  <si>
    <t>Decision-makers at ROA TAL accounts (PH, VN, TH)</t>
  </si>
  <si>
    <t>Site visitors, all 6 ASEAN markets</t>
  </si>
  <si>
    <t>Retargeting : Universal Pixel site-visit pool, no additional filters</t>
  </si>
  <si>
    <t>IT/security DMs at CF Tier 1-3 accounts (SG, MY, ID), building the ad-engager pool</t>
  </si>
  <si>
    <t>TAL : Matched Audiences (Tier 1-3) : engagement objective</t>
  </si>
  <si>
    <t>IT/security DMs at CF Tier 1-3 accounts (PH, VN, TH), building the ad-engager pool</t>
  </si>
  <si>
    <t>Web visitors, ad engagers and LGF openers, all 6 ASEAN markets</t>
  </si>
  <si>
    <t>CONSID-RTG : Document Ad with LGF</t>
  </si>
  <si>
    <t>Decision-maker personas by seniority and function, all 6 ASEAN markets</t>
  </si>
  <si>
    <t>CONSID-Persona : Document Ad with LGF</t>
  </si>
  <si>
    <t>SAARC (IN) : $10,458.00 (10.0% of APAC) : LinkedIn + TTD : LinkedIn strategy locked, under-200 employee exclusion retained, TTD on the ANZ model</t>
  </si>
  <si>
    <t>IN</t>
  </si>
  <si>
    <t>Decision-makers at India TAL accounts</t>
  </si>
  <si>
    <t>Decision-makers in target industries, scaled India reach</t>
  </si>
  <si>
    <t>Site visitors, no additional filters (India)</t>
  </si>
  <si>
    <t>CF Tier 1-3 + updated India TAL, under-200 employee floor retained</t>
  </si>
  <si>
    <t>CONSID-TAL : Document Ad with LGF</t>
  </si>
  <si>
    <t>Site visitors and engaged users past 180 days (India)</t>
  </si>
  <si>
    <t>GCR-HK : $7,320.60 (7.0% of APAC) : LinkedIn + TTD : Q2 LinkedIn 2 leads, all CONSID-RTG</t>
  </si>
  <si>
    <t>HK</t>
  </si>
  <si>
    <t>Decision-makers at HK TAL accounts</t>
  </si>
  <si>
    <t>Decision-makers in target industries, scaled HK reach</t>
  </si>
  <si>
    <t>Site visitors, no additional filters (HK)</t>
  </si>
  <si>
    <t>Tier 1-3 TAL accounts, building the ad-engager pool (HK)</t>
  </si>
  <si>
    <t>Site visitors + ad engagers + LGF openers past 180 days (HK)</t>
  </si>
  <si>
    <t>GCR-CN : $3,660.30 (3.5% of APAC) : TTD only : double-gated (regulatory hold + Bombora activation)</t>
  </si>
  <si>
    <t>CN</t>
  </si>
  <si>
    <t>IT/security DMs at China enterprise accounts</t>
  </si>
  <si>
    <t>TAL : Bombora company list + seniority + job function</t>
  </si>
  <si>
    <t>Contextual + behavioural segments (China)</t>
  </si>
  <si>
    <t>Contextual + Audience Segments</t>
  </si>
  <si>
    <t>China site visitors (Universal Pixel)</t>
  </si>
  <si>
    <t>Site retargeting : Universal Pixel site-visit pool (China)</t>
  </si>
  <si>
    <t>GCR-TW : $3,660.30 (3.5% of APAC) : TTD only : Traditional Chinese</t>
  </si>
  <si>
    <t>TW</t>
  </si>
  <si>
    <t>Decision-makers at TW TAL accounts</t>
  </si>
  <si>
    <t>Decision-makers via 3PA role and industry on premium B2B inventory (Taiwan)</t>
  </si>
  <si>
    <t>TW publisher whitelist (Bloomberg, Business Next, BusinessToday, CommonWealth, GVM) + 3PA IT/security DMs in target industries</t>
  </si>
  <si>
    <t>Site visitors, no additional filters (Taiwan)</t>
  </si>
  <si>
    <t>KR : $7,320.60 (7.0% of APAC) : TTD only : Korean language</t>
  </si>
  <si>
    <t>Decision-makers at KR TAL accounts</t>
  </si>
  <si>
    <t>Decision-makers via 3PA role and industry on premium B2B inventory (Korea)</t>
  </si>
  <si>
    <t>KR publisher whitelist (Bloomberg, WSJ, NEW ID CTV, Chosun Biz, MK, Hankyung) + SP500+ + 3PA IT/security DMs in target industries</t>
  </si>
  <si>
    <t>Site visitors, no additional filters (Korea)</t>
  </si>
  <si>
    <t>APAC GRAND TOTAL</t>
  </si>
  <si>
    <t>Q3 FY26 Core Demand Generation : Japan</t>
  </si>
  <si>
    <t>cl</t>
  </si>
  <si>
    <t>$11,620.00</t>
  </si>
  <si>
    <t>Key change</t>
  </si>
  <si>
    <t>LINE replaced by YouTube via Google Ads, built as one Demand Gen campaign with channel controls set to YouTube only. Targeting is rebuilt on Google-native tools because YouTube accepts no Bombora or third-party audience on any platform, including DV360. Native lead form on mobile and tablet, awareness on desktop via Floodlight. Floodlight retargeting carries the lead-gen weight.</t>
  </si>
  <si>
    <t>REGIONAL BUDGET SUMMARY (JP)</t>
  </si>
  <si>
    <t>% of JP</t>
  </si>
  <si>
    <t>Lead Gen (YouTube)</t>
  </si>
  <si>
    <t>Total</t>
  </si>
  <si>
    <t>TTD + YouTube (Google Ads, Demand Gen)</t>
  </si>
  <si>
    <t>PROGRAM SCHEDULE : JAPAN</t>
  </si>
  <si>
    <t>Japan : $11,620 | YouTube via Google Ads (Demand Gen) | TTD continues for reach</t>
  </si>
  <si>
    <t>JP enterprise TAL accounts, IT and security DMs</t>
  </si>
  <si>
    <t>TAL : Bombora B2Beacon company list + seniority + job function</t>
  </si>
  <si>
    <t>JP business and tech inventory + IT/security DMs</t>
  </si>
  <si>
    <t>Whitelist + 3PA : curated JP publisher whitelist (Bloomberg CTV, Nikkei Business) + 3PA IT/security DMs (seniority + function)</t>
  </si>
  <si>
    <t>Site visitors, no additional filters (Japan)</t>
  </si>
  <si>
    <t>RTG : Universal Pixel site-visit pool, web conversions</t>
  </si>
  <si>
    <t>Lead gen</t>
  </si>
  <si>
    <t>Infrastructure-intent searchers + TAL accounts (JP)</t>
  </si>
  <si>
    <t>Google Ads (YouTube)</t>
  </si>
  <si>
    <t>Custom Segments (DDoS, CDN, Zero Trust, WAF, edge) + Customer Match for TAL accounts. Demand Gen, lead form on mobile, awareness on desktop</t>
  </si>
  <si>
    <t>DM personas by interest and category research (JP)</t>
  </si>
  <si>
    <t>Affinity + In-market (Network Security, Cloud Services). Demand Gen, lead form on mobile, awareness on desktop</t>
  </si>
  <si>
    <t>Site visitors past 180 days (JP)</t>
  </si>
  <si>
    <t>Floodlight retargeting (JP visitors 180d), Demand Gen ad group, carries the lead-gen weight</t>
  </si>
  <si>
    <t>JP subtotal</t>
  </si>
  <si>
    <t>ALTERNATIVE CHANNEL CONSIDERATIONS FOR JAPAN</t>
  </si>
  <si>
    <t>YouTube via Google Ads (selected)</t>
  </si>
  <si>
    <t>One Demand Gen campaign, channel controls set to YouTube only (in-stream, in-feed, Shorts), off Gmail, Discover and the Display Network. Google-native targeting (Custom Segments, Customer Match, Affinity and In-market, Floodlight retargeting) because YouTube accepts no Bombora or third-party audience on any platform, including DV360. Native lead form on mobile and tablet, where the bulk of Japan watches; desktop has no form and drives to the JP landing page as awareness, captured via Floodlight. Chosen over DV360 because Google Ads gives the native lead form and Google-native targeting DV360 cannot, on the same YouTube inventory.</t>
  </si>
  <si>
    <t>Yahoo! Japan Ads</t>
  </si>
  <si>
    <t>Largest reach platform in Japan with strong B2B audience. Display, search, and DSP capability. Considered as alternative if Google Ads onboarding lift (advertiser verification, channel access) proves too high.</t>
  </si>
  <si>
    <t>X Twitter Japan</t>
  </si>
  <si>
    <t>Active B2B audience including Japanese IT and security communities. Lead generation cards available. Considered as social-channel alternative if CF requires a social platform.</t>
  </si>
  <si>
    <t>Native publishers (Nikkei BizGate, ITmedia, NewsPicks)</t>
  </si>
  <si>
    <t>Premium B2B audience for direct buys. Higher CPMs and smaller scale. Considered for niche premium reach if needed in Q3+.</t>
  </si>
  <si>
    <t>LinkedIn Japan (not approved)</t>
  </si>
  <si>
    <t>Native LGF attribution and B2B audience density (4M+ Japanese professionals). Not approved by CF team for Q3 Japan media.</t>
  </si>
  <si>
    <t>LINE (removed from Q3)</t>
  </si>
  <si>
    <t>Q2 delivered 5.71M impressions and 39,053 clicks at 88% pacing but Zaraz incompatibility meant no attribution path. Removed from Q3 to redirect spend to a trackable channel.</t>
  </si>
  <si>
    <t>Platform Allocation Summary</t>
  </si>
  <si>
    <t>Actual platform-level spend. Reconciles to total budget but cuts the view by platform rather than channel bucket.</t>
  </si>
  <si>
    <t>APAC : Platform Allocation</t>
  </si>
  <si>
    <t>In-scope GEOs</t>
  </si>
  <si>
    <t>ANZ, ASEAN (SIM + RoA), SAARC India, GCR-HK</t>
  </si>
  <si>
    <t>All programmatic, incl CN, TW and KR (TTD-only) and a retargeting line in every market</t>
  </si>
  <si>
    <t>Japan : Platform Allocation</t>
  </si>
  <si>
    <t>In-scope</t>
  </si>
  <si>
    <t>Japan (YouTube via Google Ads, Demand Gen)</t>
  </si>
  <si>
    <t>JP TOTAL</t>
  </si>
  <si>
    <t>Program total (APAC + JP)</t>
  </si>
  <si>
    <t>% of Total</t>
  </si>
  <si>
    <t>TOTAL</t>
  </si>
  <si>
    <t>Why TTD is the largest platform</t>
  </si>
  <si>
    <t>TTD carries $43,558 of APAC because CN, TW and KR run TTD-only (no social platform in those markets) and because every market now has a dedicated TTD retargeting line. LinkedIn carries $61,022 across ANZ, ASEAN, India and HK. Reddit is dropped. The summary tables on the Activation Plan sheets show budget through the channel buckets; this sheet shows the same dollars by platform.</t>
  </si>
  <si>
    <t>TTD reconciliation by market type</t>
  </si>
  <si>
    <t>Source</t>
  </si>
  <si>
    <t>Amount</t>
  </si>
  <si>
    <t>Note</t>
  </si>
  <si>
    <t>ANZ, ASEAN, India, HK</t>
  </si>
  <si>
    <t>TTD within social markets</t>
  </si>
  <si>
    <t>B2Beacon, whitelist + 3PA and a retargeting line in each</t>
  </si>
  <si>
    <t>CN, TW, KR</t>
  </si>
  <si>
    <t>TTD-only markets</t>
  </si>
  <si>
    <t>Full market budget on TTD, no social platform in scope</t>
  </si>
  <si>
    <t>APAC TTD TOTAL</t>
  </si>
  <si>
    <t>Matches APAC TTD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</si>
</sst>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\$#,##0"/>
    <numFmt numFmtId="165" formatCode="\$#,##0_);[Red]&quot;($&quot;#,##0\)"/>
    <numFmt numFmtId="166" formatCode="0.0%"/>
    <numFmt numFmtId="167" formatCode="\$#,##0.00"/>
  </numFmts>
  <fonts count="34" x14ac:knownFonts="1">
    <font>
      <sz val="11"/>
      <color theme="1"/>
      <name val="Calibri"/>
      <family val="2"/>
      <charset val="1"/>
    </font>
    <font>
      <b/>
      <sz val="9"/>
      <color rgb="FF8A9BB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A2A44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b/>
      <sz val="11"/>
      <color theme="0"/>
      <name val="Calibri"/>
      <charset val="1"/>
    </font>
    <font>
      <sz val="11"/>
      <color rgb="FF000000"/>
      <name val="Calibri"/>
      <charset val="1"/>
    </font>
    <font>
      <sz val="11"/>
      <color rgb="FF008000"/>
      <name val="Calibri"/>
      <charset val="1"/>
    </font>
    <font>
      <sz val="11"/>
      <name val="Calibri"/>
      <charset val="1"/>
    </font>
    <font>
      <i/>
      <sz val="11"/>
      <color rgb="FF000000"/>
      <name val="Calibri"/>
      <charset val="1"/>
    </font>
    <font>
      <b/>
      <sz val="11"/>
      <color rgb="FFF6821F"/>
      <name val="Calibri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4A5568"/>
      <name val="Arial"/>
      <charset val="1"/>
    </font>
    <font>
      <i/>
      <sz val="9"/>
      <color rgb="FF1A2A44"/>
      <name val="Arial"/>
      <charset val="1"/>
    </font>
    <font>
      <b/>
      <sz val="10"/>
      <color rgb="FF1A2A44"/>
      <name val="Arial"/>
      <charset val="1"/>
    </font>
    <font>
      <i/>
      <sz val="9"/>
      <color rgb="FF4A5568"/>
      <name val="Arial"/>
      <charset val="1"/>
    </font>
    <font>
      <i/>
      <sz val="9"/>
      <color rgb="FF8A9BB0"/>
      <name val="Arial"/>
      <charset val="1"/>
    </font>
    <font>
      <i/>
      <sz val="9"/>
      <color rgb="FFFFFFFF"/>
      <name val="Arial"/>
      <charset val="1"/>
    </font>
    <font>
      <sz val="9"/>
      <name val="Arial"/>
      <charset val="1"/>
    </font>
    <font>
      <b/>
      <sz val="9"/>
      <color rgb="FF1A2A44"/>
      <name val="Arial"/>
      <charset val="1"/>
    </font>
    <font>
      <b/>
      <sz val="9"/>
      <name val="Arial"/>
      <charset val="1"/>
    </font>
    <font>
      <i/>
      <sz val="10"/>
      <color rgb="FFF6821F"/>
      <name val="Arial"/>
      <charset val="1"/>
    </font>
    <font>
      <sz val="10"/>
      <color rgb="FF4A5568"/>
      <name val="Arial"/>
      <charset val="1"/>
    </font>
    <font>
      <sz val="9"/>
      <color rgb="FF1A2A44"/>
      <name val="Arial"/>
      <charset val="1"/>
    </font>
    <font>
      <i/>
      <sz val="8"/>
      <color rgb="FF8A9BB0"/>
      <name val="Arial"/>
      <charset val="1"/>
    </font>
    <font>
      <i/>
      <sz val="8"/>
      <color rgb="FF4A5568"/>
      <name val="Arial"/>
      <charset val="1"/>
    </font>
    <font>
      <b/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3E74FF"/>
        <bgColor rgb="FF0066CC"/>
      </patternFill>
    </fill>
    <fill>
      <patternFill patternType="solid">
        <fgColor theme="9" tint="0.59968871120334488"/>
        <bgColor rgb="FFFDDADA"/>
      </patternFill>
    </fill>
    <fill>
      <patternFill patternType="solid">
        <fgColor theme="0" tint="-0.34998626667073579"/>
        <bgColor rgb="FF8A9BB0"/>
      </patternFill>
    </fill>
    <fill>
      <patternFill patternType="solid">
        <fgColor rgb="FFF2F2F2"/>
        <bgColor rgb="FFF0F4F8"/>
      </patternFill>
    </fill>
    <fill>
      <patternFill patternType="solid">
        <fgColor rgb="FFC9C9C9"/>
        <bgColor rgb="FFCCCCCC"/>
      </patternFill>
    </fill>
    <fill>
      <patternFill patternType="solid">
        <fgColor rgb="FFFFC000"/>
        <bgColor rgb="FFF79646"/>
      </patternFill>
    </fill>
    <fill>
      <patternFill patternType="solid">
        <fgColor theme="9" tint="-0.249977111117893"/>
        <bgColor rgb="FFF6821F"/>
      </patternFill>
    </fill>
    <fill>
      <patternFill patternType="solid">
        <fgColor rgb="FFBFBFBF"/>
        <bgColor rgb="FFC9C9C9"/>
      </patternFill>
    </fill>
    <fill>
      <patternFill patternType="solid">
        <fgColor rgb="FF1F5080"/>
        <bgColor rgb="FF4A5568"/>
      </patternFill>
    </fill>
    <fill>
      <patternFill patternType="solid">
        <fgColor rgb="FFF6821F"/>
        <bgColor rgb="FFF79646"/>
      </patternFill>
    </fill>
    <fill>
      <patternFill patternType="solid">
        <fgColor rgb="FFFDEED9"/>
        <bgColor rgb="FFF2F2F2"/>
      </patternFill>
    </fill>
    <fill>
      <patternFill patternType="solid">
        <fgColor rgb="FFF0F4F8"/>
        <bgColor rgb="FFF2F2F2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/>
    <xf numFmtId="0" fontId="8" fillId="4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readingOrder="1"/>
    </xf>
    <xf numFmtId="164" fontId="10" fillId="5" borderId="1" xfId="0" applyNumberFormat="1" applyFont="1" applyFill="1" applyBorder="1" applyAlignment="1">
      <alignment horizontal="center" readingOrder="1"/>
    </xf>
    <xf numFmtId="165" fontId="9" fillId="5" borderId="1" xfId="0" applyNumberFormat="1" applyFont="1" applyFill="1" applyBorder="1" applyAlignment="1">
      <alignment horizontal="center" readingOrder="1"/>
    </xf>
    <xf numFmtId="0" fontId="9" fillId="5" borderId="1" xfId="0" applyFont="1" applyFill="1" applyBorder="1" applyAlignment="1">
      <alignment horizontal="center" readingOrder="1"/>
    </xf>
    <xf numFmtId="0" fontId="11" fillId="5" borderId="1" xfId="0" applyFont="1" applyFill="1" applyBorder="1" applyAlignment="1">
      <alignment readingOrder="1"/>
    </xf>
    <xf numFmtId="0" fontId="11" fillId="5" borderId="1" xfId="0" applyFont="1" applyFill="1" applyBorder="1" applyAlignment="1">
      <alignment horizontal="center" readingOrder="1"/>
    </xf>
    <xf numFmtId="164" fontId="7" fillId="5" borderId="1" xfId="0" applyNumberFormat="1" applyFont="1" applyFill="1" applyBorder="1" applyAlignment="1">
      <alignment readingOrder="1"/>
    </xf>
    <xf numFmtId="164" fontId="12" fillId="5" borderId="1" xfId="0" applyNumberFormat="1" applyFont="1" applyFill="1" applyBorder="1" applyAlignment="1">
      <alignment readingOrder="1"/>
    </xf>
    <xf numFmtId="164" fontId="13" fillId="5" borderId="1" xfId="0" applyNumberFormat="1" applyFont="1" applyFill="1" applyBorder="1" applyAlignment="1">
      <alignment readingOrder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10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166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vertical="center"/>
    </xf>
    <xf numFmtId="167" fontId="3" fillId="0" borderId="2" xfId="0" applyNumberFormat="1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5" fillId="10" borderId="2" xfId="0" applyFont="1" applyFill="1" applyBorder="1" applyAlignment="1">
      <alignment vertical="center"/>
    </xf>
    <xf numFmtId="166" fontId="5" fillId="10" borderId="2" xfId="0" applyNumberFormat="1" applyFont="1" applyFill="1" applyBorder="1" applyAlignment="1">
      <alignment horizontal="center" vertical="center"/>
    </xf>
    <xf numFmtId="167" fontId="5" fillId="10" borderId="2" xfId="0" applyNumberFormat="1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167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167" fontId="3" fillId="13" borderId="2" xfId="0" applyNumberFormat="1" applyFont="1" applyFill="1" applyBorder="1" applyAlignment="1">
      <alignment vertical="center"/>
    </xf>
    <xf numFmtId="166" fontId="3" fillId="13" borderId="2" xfId="0" applyNumberFormat="1" applyFont="1" applyFill="1" applyBorder="1" applyAlignment="1">
      <alignment horizontal="center" vertical="center"/>
    </xf>
    <xf numFmtId="0" fontId="0" fillId="13" borderId="2" xfId="0" applyFill="1" applyBorder="1" applyAlignment="1">
      <alignment vertical="center"/>
    </xf>
    <xf numFmtId="0" fontId="5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21" fillId="10" borderId="0" xfId="0" applyFont="1" applyFill="1" applyAlignment="1">
      <alignment horizontal="right" vertical="center"/>
    </xf>
    <xf numFmtId="167" fontId="5" fillId="10" borderId="0" xfId="0" applyNumberFormat="1" applyFont="1" applyFill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3" fillId="0" borderId="2" xfId="0" applyFont="1" applyBorder="1" applyAlignment="1">
      <alignment vertical="center"/>
    </xf>
    <xf numFmtId="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7" fontId="22" fillId="0" borderId="2" xfId="0" applyNumberFormat="1" applyFon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3" fontId="22" fillId="0" borderId="2" xfId="0" applyNumberFormat="1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19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167" fontId="24" fillId="13" borderId="0" xfId="0" applyNumberFormat="1" applyFont="1" applyFill="1" applyAlignment="1">
      <alignment vertical="center"/>
    </xf>
    <xf numFmtId="0" fontId="14" fillId="10" borderId="0" xfId="0" applyFont="1" applyFill="1" applyAlignment="1">
      <alignment vertical="center"/>
    </xf>
    <xf numFmtId="167" fontId="14" fillId="10" borderId="0" xfId="0" applyNumberFormat="1" applyFont="1" applyFill="1" applyAlignment="1">
      <alignment vertical="center"/>
    </xf>
    <xf numFmtId="164" fontId="3" fillId="0" borderId="2" xfId="0" applyNumberFormat="1" applyFont="1" applyBorder="1" applyAlignment="1">
      <alignment vertical="center"/>
    </xf>
    <xf numFmtId="167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0" fontId="18" fillId="0" borderId="0" xfId="0" applyFont="1" applyAlignment="1">
      <alignment vertical="center" wrapText="1"/>
    </xf>
    <xf numFmtId="0" fontId="4" fillId="0" borderId="0" xfId="0" applyFont="1"/>
    <xf numFmtId="0" fontId="18" fillId="0" borderId="2" xfId="0" applyFont="1" applyBorder="1"/>
    <xf numFmtId="0" fontId="0" fillId="0" borderId="2" xfId="0" applyBorder="1"/>
    <xf numFmtId="167" fontId="2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0" fontId="16" fillId="0" borderId="2" xfId="0" applyFont="1" applyBorder="1" applyAlignment="1">
      <alignment vertical="top" wrapText="1"/>
    </xf>
    <xf numFmtId="0" fontId="3" fillId="13" borderId="2" xfId="0" applyFont="1" applyFill="1" applyBorder="1"/>
    <xf numFmtId="0" fontId="0" fillId="13" borderId="2" xfId="0" applyFill="1" applyBorder="1"/>
    <xf numFmtId="167" fontId="3" fillId="13" borderId="2" xfId="0" applyNumberFormat="1" applyFont="1" applyFill="1" applyBorder="1"/>
    <xf numFmtId="166" fontId="3" fillId="13" borderId="2" xfId="0" applyNumberFormat="1" applyFont="1" applyFill="1" applyBorder="1" applyAlignment="1">
      <alignment horizontal="center"/>
    </xf>
    <xf numFmtId="0" fontId="16" fillId="0" borderId="2" xfId="0" applyFont="1" applyBorder="1"/>
    <xf numFmtId="0" fontId="22" fillId="0" borderId="2" xfId="0" applyFont="1" applyBorder="1"/>
    <xf numFmtId="167" fontId="22" fillId="0" borderId="2" xfId="0" applyNumberFormat="1" applyFont="1" applyBorder="1"/>
    <xf numFmtId="0" fontId="28" fillId="0" borderId="2" xfId="0" applyFont="1" applyBorder="1"/>
    <xf numFmtId="0" fontId="29" fillId="13" borderId="2" xfId="0" applyFont="1" applyFill="1" applyBorder="1"/>
    <xf numFmtId="0" fontId="31" fillId="15" borderId="5" xfId="0" applyFont="1" applyFill="1" applyBorder="1" applyAlignment="1">
      <alignment horizontal="center" indent="1" readingOrder="1"/>
    </xf>
    <xf numFmtId="6" fontId="31" fillId="15" borderId="6" xfId="0" applyNumberFormat="1" applyFont="1" applyFill="1" applyBorder="1" applyAlignment="1">
      <alignment horizontal="center" indent="1" readingOrder="1"/>
    </xf>
    <xf numFmtId="0" fontId="6" fillId="0" borderId="0" xfId="0" applyFont="1" applyAlignment="1">
      <alignment horizontal="center" indent="1"/>
    </xf>
    <xf numFmtId="0" fontId="30" fillId="14" borderId="3" xfId="0" applyFont="1" applyFill="1" applyBorder="1" applyAlignment="1">
      <alignment horizontal="center" vertical="center" wrapText="1" indent="1" readingOrder="1"/>
    </xf>
    <xf numFmtId="0" fontId="30" fillId="14" borderId="4" xfId="0" applyFont="1" applyFill="1" applyBorder="1" applyAlignment="1">
      <alignment horizontal="center" vertical="center" wrapText="1" indent="1" readingOrder="1"/>
    </xf>
    <xf numFmtId="0" fontId="6" fillId="0" borderId="0" xfId="0" applyFont="1" applyAlignment="1">
      <alignment vertical="center"/>
    </xf>
    <xf numFmtId="0" fontId="30" fillId="16" borderId="8" xfId="0" applyFont="1" applyFill="1" applyBorder="1" applyAlignment="1">
      <alignment readingOrder="1"/>
    </xf>
    <xf numFmtId="0" fontId="0" fillId="0" borderId="0" xfId="0" applyAlignment="1">
      <alignment readingOrder="1"/>
    </xf>
    <xf numFmtId="0" fontId="0" fillId="0" borderId="8" xfId="0" applyBorder="1" applyAlignment="1">
      <alignment readingOrder="1"/>
    </xf>
    <xf numFmtId="0" fontId="0" fillId="15" borderId="8" xfId="0" applyFill="1" applyBorder="1" applyAlignment="1">
      <alignment readingOrder="1"/>
    </xf>
    <xf numFmtId="0" fontId="33" fillId="17" borderId="8" xfId="0" applyFont="1" applyFill="1" applyBorder="1" applyAlignment="1">
      <alignment readingOrder="1"/>
    </xf>
    <xf numFmtId="0" fontId="30" fillId="16" borderId="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center" vertical="center" readingOrder="1"/>
    </xf>
    <xf numFmtId="6" fontId="0" fillId="0" borderId="9" xfId="0" applyNumberFormat="1" applyBorder="1" applyAlignment="1">
      <alignment horizontal="center" vertical="center" readingOrder="1"/>
    </xf>
    <xf numFmtId="0" fontId="0" fillId="15" borderId="9" xfId="0" applyFill="1" applyBorder="1" applyAlignment="1">
      <alignment horizontal="center" vertical="center" readingOrder="1"/>
    </xf>
    <xf numFmtId="6" fontId="0" fillId="15" borderId="9" xfId="0" applyNumberFormat="1" applyFill="1" applyBorder="1" applyAlignment="1">
      <alignment horizontal="center" vertical="center" readingOrder="1"/>
    </xf>
    <xf numFmtId="0" fontId="0" fillId="17" borderId="9" xfId="0" applyFill="1" applyBorder="1" applyAlignment="1">
      <alignment horizontal="center" vertical="center" readingOrder="1"/>
    </xf>
    <xf numFmtId="6" fontId="33" fillId="17" borderId="9" xfId="0" applyNumberFormat="1" applyFont="1" applyFill="1" applyBorder="1" applyAlignment="1">
      <alignment horizontal="center" vertical="center" readingOrder="1"/>
    </xf>
    <xf numFmtId="0" fontId="33" fillId="17" borderId="9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14" fillId="2" borderId="0" xfId="0" applyFont="1" applyFill="1" applyAlignment="1">
      <alignment vertical="center"/>
    </xf>
    <xf numFmtId="0" fontId="32" fillId="0" borderId="7" xfId="0" applyFont="1" applyBorder="1" applyAlignment="1">
      <alignment readingOrder="1"/>
    </xf>
    <xf numFmtId="0" fontId="7" fillId="3" borderId="1" xfId="0" applyFont="1" applyFill="1" applyBorder="1" applyAlignment="1">
      <alignment vertical="center" readingOrder="1"/>
    </xf>
    <xf numFmtId="0" fontId="11" fillId="6" borderId="1" xfId="0" applyFont="1" applyFill="1" applyBorder="1" applyAlignment="1">
      <alignment horizontal="center" readingOrder="1"/>
    </xf>
    <xf numFmtId="0" fontId="7" fillId="7" borderId="1" xfId="0" applyFont="1" applyFill="1" applyBorder="1" applyAlignment="1">
      <alignment vertical="center" readingOrder="1"/>
    </xf>
    <xf numFmtId="0" fontId="7" fillId="8" borderId="1" xfId="0" applyFont="1" applyFill="1" applyBorder="1" applyAlignment="1">
      <alignment vertical="center" readingOrder="1"/>
    </xf>
    <xf numFmtId="0" fontId="13" fillId="5" borderId="1" xfId="0" applyFont="1" applyFill="1" applyBorder="1" applyAlignment="1">
      <alignment horizontal="right" readingOrder="1"/>
    </xf>
    <xf numFmtId="0" fontId="11" fillId="9" borderId="1" xfId="0" applyFont="1" applyFill="1" applyBorder="1" applyAlignment="1">
      <alignment horizontal="center" readingOrder="1"/>
    </xf>
    <xf numFmtId="0" fontId="7" fillId="5" borderId="1" xfId="0" applyFont="1" applyFill="1" applyBorder="1" applyAlignment="1">
      <alignment horizontal="right" readingOrder="1"/>
    </xf>
    <xf numFmtId="0" fontId="12" fillId="5" borderId="1" xfId="0" applyFont="1" applyFill="1" applyBorder="1" applyAlignment="1">
      <alignment horizontal="right" readingOrder="1"/>
    </xf>
    <xf numFmtId="0" fontId="16" fillId="0" borderId="2" xfId="0" applyFont="1" applyBorder="1" applyAlignment="1">
      <alignment vertical="center" wrapText="1"/>
    </xf>
    <xf numFmtId="0" fontId="19" fillId="13" borderId="2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4" fillId="11" borderId="0" xfId="0" applyFont="1" applyFill="1" applyAlignment="1">
      <alignment vertical="center"/>
    </xf>
    <xf numFmtId="0" fontId="17" fillId="12" borderId="0" xfId="0" applyFont="1" applyFill="1" applyAlignment="1">
      <alignment vertical="center" wrapText="1"/>
    </xf>
    <xf numFmtId="0" fontId="27" fillId="12" borderId="2" xfId="0" applyFont="1" applyFill="1" applyBorder="1" applyAlignment="1">
      <alignment vertical="top" wrapText="1"/>
    </xf>
    <xf numFmtId="0" fontId="18" fillId="0" borderId="0" xfId="0" applyFont="1"/>
    <xf numFmtId="0" fontId="20" fillId="0" borderId="0" xfId="0" applyFont="1" applyAlignment="1">
      <alignment vertical="top" wrapText="1"/>
    </xf>
    <xf numFmtId="0" fontId="1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DEED9"/>
      <rgbColor rgb="FFF0F4F8"/>
      <rgbColor rgb="FF660066"/>
      <rgbColor rgb="FFF79646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3"/>
      <rgbColor rgb="FFD4F4DD"/>
      <rgbColor rgb="FFF2F2F2"/>
      <rgbColor rgb="FFC9C9C9"/>
      <rgbColor rgb="FFFDDADA"/>
      <rgbColor rgb="FFCC99FF"/>
      <rgbColor rgb="FFFCD5B5"/>
      <rgbColor rgb="FF3E74FF"/>
      <rgbColor rgb="FF33CCCC"/>
      <rgbColor rgb="FF99CC00"/>
      <rgbColor rgb="FFFFC000"/>
      <rgbColor rgb="FFF6821F"/>
      <rgbColor rgb="FFE46C0A"/>
      <rgbColor rgb="FF4A5568"/>
      <rgbColor rgb="FF8A9BB0"/>
      <rgbColor rgb="FF003366"/>
      <rgbColor rgb="FF339966"/>
      <rgbColor rgb="FF003300"/>
      <rgbColor rgb="FF333300"/>
      <rgbColor rgb="FF993300"/>
      <rgbColor rgb="FF993366"/>
      <rgbColor rgb="FF1F5080"/>
      <rgbColor rgb="FF1A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6"/>
  <sheetViews>
    <sheetView showGridLines="0" topLeftCell="A16" zoomScale="80" zoomScaleNormal="80" workbookViewId="0">
      <selection activeCell="F27" sqref="F27:F30"/>
    </sheetView>
  </sheetViews>
  <sheetFormatPr defaultColWidth="9.140625" defaultRowHeight="15" x14ac:dyDescent="0.25"/>
  <cols>
    <col min="1" max="1" width="5" style="3" customWidth="1"/>
    <col min="2" max="2" width="26" style="3" customWidth="1"/>
    <col min="3" max="3" width="13.42578125" style="3" customWidth="1"/>
    <col min="4" max="7" width="22" style="3" customWidth="1"/>
    <col min="8" max="9" width="18.85546875" style="73" customWidth="1"/>
    <col min="10" max="10" width="13.42578125" style="3" customWidth="1"/>
    <col min="11" max="11" width="12" style="3" customWidth="1"/>
    <col min="12" max="15" width="13.42578125" style="3" customWidth="1"/>
    <col min="16" max="16384" width="9.140625" style="3"/>
  </cols>
  <sheetData>
    <row r="2" spans="2:9" s="76" customFormat="1" ht="38.25" customHeight="1" x14ac:dyDescent="0.25">
      <c r="B2" s="96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74" t="s">
        <v>16</v>
      </c>
      <c r="I2" s="75" t="s">
        <v>17</v>
      </c>
    </row>
    <row r="3" spans="2:9" ht="15" customHeight="1" x14ac:dyDescent="0.25">
      <c r="B3" s="96"/>
      <c r="C3" s="5" t="s">
        <v>18</v>
      </c>
      <c r="D3" s="6">
        <f>'APAC Activation Plan'!D20</f>
        <v>43557.56</v>
      </c>
      <c r="E3" s="6">
        <f>'APAC Activation Plan'!E20</f>
        <v>23250</v>
      </c>
      <c r="F3" s="6">
        <f>'APAC Activation Plan'!F20</f>
        <v>37772.44</v>
      </c>
      <c r="G3" s="6">
        <f>'APAC Activation Plan'!G20</f>
        <v>104580.00000000001</v>
      </c>
      <c r="H3" s="71">
        <v>210</v>
      </c>
      <c r="I3" s="72">
        <v>180</v>
      </c>
    </row>
    <row r="4" spans="2:9" ht="15" customHeight="1" x14ac:dyDescent="0.25">
      <c r="B4" s="96"/>
      <c r="C4" s="5" t="s">
        <v>19</v>
      </c>
      <c r="D4" s="6">
        <f>'JP Activation Plan'!D13</f>
        <v>4067</v>
      </c>
      <c r="E4" s="6">
        <f>'JP Activation Plan'!E13</f>
        <v>0</v>
      </c>
      <c r="F4" s="6">
        <f>'JP Activation Plan'!F13</f>
        <v>7553</v>
      </c>
      <c r="G4" s="6">
        <f>'JP Activation Plan'!G13</f>
        <v>11620</v>
      </c>
      <c r="H4" s="71">
        <v>42</v>
      </c>
      <c r="I4" s="72">
        <v>180</v>
      </c>
    </row>
    <row r="5" spans="2:9" ht="7.5" customHeight="1" x14ac:dyDescent="0.25">
      <c r="B5" s="97"/>
      <c r="C5" s="97"/>
      <c r="D5" s="97"/>
      <c r="E5" s="97"/>
      <c r="F5" s="97"/>
      <c r="G5" s="97"/>
    </row>
    <row r="6" spans="2:9" ht="38.25" customHeight="1" x14ac:dyDescent="0.25">
      <c r="B6" s="98" t="s">
        <v>20</v>
      </c>
      <c r="C6" s="4" t="s">
        <v>21</v>
      </c>
      <c r="D6" s="4" t="s">
        <v>22</v>
      </c>
      <c r="E6" s="4" t="s">
        <v>17</v>
      </c>
      <c r="F6" s="4" t="s">
        <v>23</v>
      </c>
      <c r="G6" s="4" t="s">
        <v>15</v>
      </c>
    </row>
    <row r="7" spans="2:9" ht="15" customHeight="1" x14ac:dyDescent="0.25">
      <c r="B7" s="98"/>
      <c r="C7" s="5" t="s">
        <v>18</v>
      </c>
      <c r="D7" s="7">
        <v>94122</v>
      </c>
      <c r="E7" s="7">
        <v>60</v>
      </c>
      <c r="F7" s="8">
        <v>1569</v>
      </c>
      <c r="G7" s="7">
        <v>94122</v>
      </c>
    </row>
    <row r="8" spans="2:9" ht="15" customHeight="1" x14ac:dyDescent="0.25">
      <c r="B8" s="98"/>
      <c r="C8" s="5" t="s">
        <v>19</v>
      </c>
      <c r="D8" s="7">
        <v>10458</v>
      </c>
      <c r="E8" s="7">
        <v>60</v>
      </c>
      <c r="F8" s="8">
        <v>174</v>
      </c>
      <c r="G8" s="7">
        <v>10458</v>
      </c>
    </row>
    <row r="9" spans="2:9" ht="7.5" customHeight="1" x14ac:dyDescent="0.25">
      <c r="B9" s="97"/>
      <c r="C9" s="97"/>
      <c r="D9" s="97"/>
      <c r="E9" s="97"/>
      <c r="F9" s="97"/>
      <c r="G9" s="97"/>
    </row>
    <row r="10" spans="2:9" ht="38.25" customHeight="1" x14ac:dyDescent="0.25">
      <c r="B10" s="99" t="s">
        <v>24</v>
      </c>
      <c r="C10" s="4" t="s">
        <v>21</v>
      </c>
      <c r="D10" s="4" t="s">
        <v>25</v>
      </c>
      <c r="E10" s="4" t="s">
        <v>17</v>
      </c>
      <c r="F10" s="4" t="s">
        <v>23</v>
      </c>
      <c r="G10" s="4" t="s">
        <v>15</v>
      </c>
    </row>
    <row r="11" spans="2:9" ht="15" customHeight="1" x14ac:dyDescent="0.25">
      <c r="B11" s="99"/>
      <c r="C11" s="5" t="s">
        <v>18</v>
      </c>
      <c r="D11" s="7">
        <v>31374</v>
      </c>
      <c r="E11" s="7">
        <v>97</v>
      </c>
      <c r="F11" s="8">
        <v>323</v>
      </c>
      <c r="G11" s="7">
        <v>31374</v>
      </c>
    </row>
    <row r="12" spans="2:9" ht="15" customHeight="1" x14ac:dyDescent="0.25">
      <c r="B12" s="99"/>
      <c r="C12" s="5" t="s">
        <v>19</v>
      </c>
      <c r="D12" s="7">
        <v>3486</v>
      </c>
      <c r="E12" s="7">
        <v>97</v>
      </c>
      <c r="F12" s="8">
        <v>36</v>
      </c>
      <c r="G12" s="7">
        <v>3486</v>
      </c>
    </row>
    <row r="13" spans="2:9" ht="7.5" customHeight="1" x14ac:dyDescent="0.25">
      <c r="B13" s="99"/>
      <c r="C13" s="9"/>
      <c r="D13" s="10"/>
      <c r="E13" s="10"/>
      <c r="F13" s="10"/>
      <c r="G13" s="10"/>
    </row>
    <row r="14" spans="2:9" ht="38.25" customHeight="1" x14ac:dyDescent="0.25">
      <c r="B14" s="99"/>
      <c r="C14" s="4" t="s">
        <v>21</v>
      </c>
      <c r="D14" s="4" t="s">
        <v>26</v>
      </c>
      <c r="E14" s="4" t="s">
        <v>17</v>
      </c>
      <c r="F14" s="4" t="s">
        <v>23</v>
      </c>
      <c r="G14" s="4" t="s">
        <v>15</v>
      </c>
    </row>
    <row r="15" spans="2:9" ht="15" customHeight="1" x14ac:dyDescent="0.25">
      <c r="B15" s="99"/>
      <c r="C15" s="5" t="s">
        <v>18</v>
      </c>
      <c r="D15" s="7">
        <v>31374</v>
      </c>
      <c r="E15" s="7">
        <v>102</v>
      </c>
      <c r="F15" s="8">
        <v>308</v>
      </c>
      <c r="G15" s="7">
        <v>31374</v>
      </c>
    </row>
    <row r="16" spans="2:9" ht="15" customHeight="1" x14ac:dyDescent="0.25">
      <c r="B16" s="99"/>
      <c r="C16" s="5" t="s">
        <v>19</v>
      </c>
      <c r="D16" s="7">
        <v>3486</v>
      </c>
      <c r="E16" s="7">
        <v>102</v>
      </c>
      <c r="F16" s="8">
        <v>34</v>
      </c>
      <c r="G16" s="7">
        <v>3486</v>
      </c>
    </row>
    <row r="17" spans="2:7" ht="7.5" customHeight="1" x14ac:dyDescent="0.25">
      <c r="B17" s="101"/>
      <c r="C17" s="101"/>
      <c r="D17" s="101"/>
      <c r="E17" s="101"/>
      <c r="F17" s="101"/>
      <c r="G17" s="101"/>
    </row>
    <row r="18" spans="2:7" ht="15" customHeight="1" x14ac:dyDescent="0.25">
      <c r="B18" s="102" t="s">
        <v>27</v>
      </c>
      <c r="C18" s="102"/>
      <c r="D18" s="102"/>
      <c r="E18" s="102"/>
      <c r="F18" s="102"/>
      <c r="G18" s="11">
        <f>ROUND(G3+G4+G7+G8+G11+G12+G15+G16,0)</f>
        <v>290500</v>
      </c>
    </row>
    <row r="19" spans="2:7" ht="15" customHeight="1" x14ac:dyDescent="0.25">
      <c r="B19" s="103" t="s">
        <v>28</v>
      </c>
      <c r="C19" s="103"/>
      <c r="D19" s="103"/>
      <c r="E19" s="103"/>
      <c r="F19" s="103"/>
      <c r="G19" s="12">
        <f>ROUND(G22*0.07,0)</f>
        <v>24500</v>
      </c>
    </row>
    <row r="20" spans="2:7" ht="15" customHeight="1" x14ac:dyDescent="0.25">
      <c r="B20" s="103" t="s">
        <v>29</v>
      </c>
      <c r="C20" s="103"/>
      <c r="D20" s="103"/>
      <c r="E20" s="103"/>
      <c r="F20" s="103"/>
      <c r="G20" s="12">
        <f>ROUND(G22*0.06,0)</f>
        <v>21000</v>
      </c>
    </row>
    <row r="21" spans="2:7" ht="15" customHeight="1" x14ac:dyDescent="0.25">
      <c r="B21" s="103" t="s">
        <v>30</v>
      </c>
      <c r="C21" s="103"/>
      <c r="D21" s="103"/>
      <c r="E21" s="103"/>
      <c r="F21" s="103"/>
      <c r="G21" s="12">
        <f>ROUND(G22*0.04,0)</f>
        <v>14000</v>
      </c>
    </row>
    <row r="22" spans="2:7" ht="15" customHeight="1" x14ac:dyDescent="0.25">
      <c r="B22" s="100" t="s">
        <v>31</v>
      </c>
      <c r="C22" s="100"/>
      <c r="D22" s="100"/>
      <c r="E22" s="100"/>
      <c r="F22" s="100"/>
      <c r="G22" s="13">
        <f>ROUND(G18/(1-0.07-0.06-0.04),0)</f>
        <v>350000</v>
      </c>
    </row>
    <row r="25" spans="2:7" ht="15.75" x14ac:dyDescent="0.25">
      <c r="B25" s="95" t="s">
        <v>32</v>
      </c>
      <c r="C25" s="95"/>
      <c r="D25" s="95"/>
      <c r="E25" s="95"/>
      <c r="F25" s="95"/>
      <c r="G25" s="95"/>
    </row>
    <row r="26" spans="2:7" x14ac:dyDescent="0.25">
      <c r="B26" s="77" t="s">
        <v>33</v>
      </c>
      <c r="C26" s="82" t="s">
        <v>34</v>
      </c>
      <c r="D26" s="82" t="s">
        <v>35</v>
      </c>
      <c r="E26" s="82" t="s">
        <v>36</v>
      </c>
      <c r="F26" s="82" t="s">
        <v>37</v>
      </c>
      <c r="G26" s="78"/>
    </row>
    <row r="27" spans="2:7" x14ac:dyDescent="0.25">
      <c r="B27" s="79" t="s">
        <v>3</v>
      </c>
      <c r="C27" s="83" t="s">
        <v>38</v>
      </c>
      <c r="D27" s="84">
        <v>18051</v>
      </c>
      <c r="E27" s="84">
        <v>301</v>
      </c>
      <c r="F27" s="83">
        <v>60</v>
      </c>
      <c r="G27" s="78"/>
    </row>
    <row r="28" spans="2:7" x14ac:dyDescent="0.25">
      <c r="B28" s="80" t="s">
        <v>4</v>
      </c>
      <c r="C28" s="85" t="s">
        <v>38</v>
      </c>
      <c r="D28" s="86">
        <v>10066</v>
      </c>
      <c r="E28" s="86">
        <v>126</v>
      </c>
      <c r="F28" s="85">
        <v>80</v>
      </c>
      <c r="G28" s="78"/>
    </row>
    <row r="29" spans="2:7" x14ac:dyDescent="0.25">
      <c r="B29" s="79" t="s">
        <v>5</v>
      </c>
      <c r="C29" s="83" t="s">
        <v>38</v>
      </c>
      <c r="D29" s="84">
        <v>6798</v>
      </c>
      <c r="E29" s="84">
        <v>115</v>
      </c>
      <c r="F29" s="83">
        <v>59</v>
      </c>
      <c r="G29" s="78"/>
    </row>
    <row r="30" spans="2:7" x14ac:dyDescent="0.25">
      <c r="B30" s="80" t="s">
        <v>6</v>
      </c>
      <c r="C30" s="85" t="s">
        <v>38</v>
      </c>
      <c r="D30" s="86">
        <v>2858</v>
      </c>
      <c r="E30" s="86">
        <v>260</v>
      </c>
      <c r="F30" s="85">
        <v>11</v>
      </c>
      <c r="G30" s="78"/>
    </row>
    <row r="31" spans="2:7" x14ac:dyDescent="0.25">
      <c r="B31" s="79" t="s">
        <v>7</v>
      </c>
      <c r="C31" s="83" t="s">
        <v>39</v>
      </c>
      <c r="D31" s="84">
        <v>0</v>
      </c>
      <c r="E31" s="83" t="s">
        <v>40</v>
      </c>
      <c r="F31" s="83">
        <v>0</v>
      </c>
      <c r="G31" s="78"/>
    </row>
    <row r="32" spans="2:7" x14ac:dyDescent="0.25">
      <c r="B32" s="80" t="s">
        <v>8</v>
      </c>
      <c r="C32" s="85" t="s">
        <v>39</v>
      </c>
      <c r="D32" s="86">
        <v>0</v>
      </c>
      <c r="E32" s="85" t="s">
        <v>40</v>
      </c>
      <c r="F32" s="85">
        <v>0</v>
      </c>
      <c r="G32" s="78"/>
    </row>
    <row r="33" spans="2:7" x14ac:dyDescent="0.25">
      <c r="B33" s="79" t="s">
        <v>9</v>
      </c>
      <c r="C33" s="83" t="s">
        <v>39</v>
      </c>
      <c r="D33" s="84">
        <v>0</v>
      </c>
      <c r="E33" s="83" t="s">
        <v>40</v>
      </c>
      <c r="F33" s="83">
        <v>0</v>
      </c>
      <c r="G33" s="78"/>
    </row>
    <row r="34" spans="2:7" x14ac:dyDescent="0.25">
      <c r="B34" s="80" t="s">
        <v>19</v>
      </c>
      <c r="C34" s="85" t="s">
        <v>41</v>
      </c>
      <c r="D34" s="86">
        <v>7553</v>
      </c>
      <c r="E34" s="86">
        <v>180</v>
      </c>
      <c r="F34" s="85">
        <v>42</v>
      </c>
      <c r="G34" s="78"/>
    </row>
    <row r="35" spans="2:7" x14ac:dyDescent="0.25">
      <c r="B35" s="81" t="s">
        <v>42</v>
      </c>
      <c r="C35" s="87"/>
      <c r="D35" s="88">
        <v>37772</v>
      </c>
      <c r="E35" s="88">
        <v>180</v>
      </c>
      <c r="F35" s="89">
        <v>210</v>
      </c>
      <c r="G35" s="78"/>
    </row>
    <row r="36" spans="2:7" x14ac:dyDescent="0.25">
      <c r="B36" s="81" t="s">
        <v>43</v>
      </c>
      <c r="C36" s="87"/>
      <c r="D36" s="88">
        <v>37772</v>
      </c>
      <c r="E36" s="88">
        <v>180</v>
      </c>
      <c r="F36" s="89">
        <v>210</v>
      </c>
      <c r="G36" s="78"/>
    </row>
  </sheetData>
  <mergeCells count="12">
    <mergeCell ref="B25:G25"/>
    <mergeCell ref="B2:B4"/>
    <mergeCell ref="B5:G5"/>
    <mergeCell ref="B6:B8"/>
    <mergeCell ref="B9:G9"/>
    <mergeCell ref="B10:B16"/>
    <mergeCell ref="B22:F22"/>
    <mergeCell ref="B17:G17"/>
    <mergeCell ref="B18:F18"/>
    <mergeCell ref="B19:F19"/>
    <mergeCell ref="B20:F20"/>
    <mergeCell ref="B21:F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N88"/>
  <sheetViews>
    <sheetView showGridLines="0" topLeftCell="A54" zoomScale="80" zoomScaleNormal="80" workbookViewId="0">
      <selection activeCell="D8" sqref="D8"/>
    </sheetView>
  </sheetViews>
  <sheetFormatPr defaultColWidth="8.7109375" defaultRowHeight="15" x14ac:dyDescent="0.25"/>
  <cols>
    <col min="1" max="1" width="4" style="2" customWidth="1"/>
    <col min="2" max="2" width="16" style="2" customWidth="1"/>
    <col min="3" max="3" width="30" style="2" customWidth="1"/>
    <col min="4" max="4" width="32" style="2" customWidth="1"/>
    <col min="5" max="5" width="13" style="2" customWidth="1"/>
    <col min="6" max="6" width="34.85546875" style="2" customWidth="1"/>
    <col min="7" max="7" width="16.5703125" style="2" customWidth="1"/>
    <col min="8" max="8" width="23.7109375" style="2" customWidth="1"/>
    <col min="9" max="11" width="8" style="2" customWidth="1"/>
    <col min="12" max="12" width="13" style="2" customWidth="1"/>
    <col min="13" max="13" width="11" style="2" customWidth="1"/>
    <col min="14" max="14" width="9" style="2" customWidth="1"/>
    <col min="15" max="16384" width="8.7109375" style="2"/>
  </cols>
  <sheetData>
    <row r="2" spans="2:8" ht="15" customHeight="1" x14ac:dyDescent="0.25">
      <c r="B2" s="14" t="s">
        <v>44</v>
      </c>
      <c r="C2" s="15" t="s">
        <v>45</v>
      </c>
    </row>
    <row r="3" spans="2:8" ht="15" customHeight="1" x14ac:dyDescent="0.25">
      <c r="B3" s="14" t="s">
        <v>46</v>
      </c>
      <c r="C3" s="15" t="s">
        <v>47</v>
      </c>
    </row>
    <row r="4" spans="2:8" ht="15" customHeight="1" x14ac:dyDescent="0.25">
      <c r="B4" s="14" t="s">
        <v>0</v>
      </c>
      <c r="C4" s="15" t="s">
        <v>48</v>
      </c>
    </row>
    <row r="5" spans="2:8" ht="15" customHeight="1" x14ac:dyDescent="0.25">
      <c r="B5" s="14" t="s">
        <v>49</v>
      </c>
      <c r="C5" s="15" t="s">
        <v>50</v>
      </c>
    </row>
    <row r="6" spans="2:8" ht="15" customHeight="1" x14ac:dyDescent="0.25">
      <c r="B6" s="14" t="s">
        <v>51</v>
      </c>
      <c r="C6" s="15" t="s">
        <v>52</v>
      </c>
    </row>
    <row r="7" spans="2:8" ht="15" customHeight="1" x14ac:dyDescent="0.25">
      <c r="B7" s="14" t="s">
        <v>53</v>
      </c>
      <c r="C7" s="90">
        <v>92</v>
      </c>
    </row>
    <row r="8" spans="2:8" ht="15" customHeight="1" x14ac:dyDescent="0.25">
      <c r="B8" s="14" t="s">
        <v>1</v>
      </c>
      <c r="C8" s="16" t="s">
        <v>54</v>
      </c>
    </row>
    <row r="10" spans="2:8" ht="15" customHeight="1" x14ac:dyDescent="0.25">
      <c r="B10" s="94" t="s">
        <v>55</v>
      </c>
      <c r="C10" s="94"/>
      <c r="D10" s="94"/>
      <c r="E10" s="94"/>
      <c r="F10" s="94"/>
      <c r="G10" s="94"/>
      <c r="H10" s="94"/>
    </row>
    <row r="11" spans="2:8" ht="30" customHeight="1" x14ac:dyDescent="0.25">
      <c r="B11" s="17" t="s">
        <v>11</v>
      </c>
      <c r="C11" s="17" t="s">
        <v>56</v>
      </c>
      <c r="D11" s="17" t="s">
        <v>12</v>
      </c>
      <c r="E11" s="17" t="s">
        <v>57</v>
      </c>
      <c r="F11" s="17" t="s">
        <v>58</v>
      </c>
      <c r="G11" s="17" t="s">
        <v>15</v>
      </c>
      <c r="H11" s="17" t="s">
        <v>59</v>
      </c>
    </row>
    <row r="12" spans="2:8" ht="15" customHeight="1" x14ac:dyDescent="0.25">
      <c r="B12" s="18" t="s">
        <v>3</v>
      </c>
      <c r="C12" s="19">
        <f t="shared" ref="C12:C18" si="0">G12/$G$20</f>
        <v>0.49999999999999994</v>
      </c>
      <c r="D12" s="20">
        <v>15739.31</v>
      </c>
      <c r="E12" s="20">
        <v>18500</v>
      </c>
      <c r="F12" s="20">
        <v>18050.689999999999</v>
      </c>
      <c r="G12" s="21">
        <f t="shared" ref="G12:G18" si="1">SUM(D12:F12)</f>
        <v>52290</v>
      </c>
      <c r="H12" s="22" t="s">
        <v>60</v>
      </c>
    </row>
    <row r="13" spans="2:8" ht="15" customHeight="1" x14ac:dyDescent="0.25">
      <c r="B13" s="18" t="s">
        <v>4</v>
      </c>
      <c r="C13" s="19">
        <f t="shared" si="0"/>
        <v>0.18999999999999997</v>
      </c>
      <c r="D13" s="20">
        <v>6954.56</v>
      </c>
      <c r="E13" s="20">
        <v>2850</v>
      </c>
      <c r="F13" s="20">
        <v>10065.64</v>
      </c>
      <c r="G13" s="21">
        <f t="shared" si="1"/>
        <v>19870.2</v>
      </c>
      <c r="H13" s="22" t="s">
        <v>60</v>
      </c>
    </row>
    <row r="14" spans="2:8" ht="15" customHeight="1" x14ac:dyDescent="0.25">
      <c r="B14" s="18" t="s">
        <v>61</v>
      </c>
      <c r="C14" s="19">
        <f t="shared" si="0"/>
        <v>9.9999999999999992E-2</v>
      </c>
      <c r="D14" s="20">
        <v>3660.3</v>
      </c>
      <c r="E14" s="20">
        <v>0</v>
      </c>
      <c r="F14" s="20">
        <v>6797.7</v>
      </c>
      <c r="G14" s="21">
        <f t="shared" si="1"/>
        <v>10458</v>
      </c>
      <c r="H14" s="22" t="s">
        <v>60</v>
      </c>
    </row>
    <row r="15" spans="2:8" ht="15" customHeight="1" x14ac:dyDescent="0.25">
      <c r="B15" s="18" t="s">
        <v>62</v>
      </c>
      <c r="C15" s="19">
        <f t="shared" si="0"/>
        <v>3.4999999999999996E-2</v>
      </c>
      <c r="D15" s="20">
        <v>3660.3</v>
      </c>
      <c r="E15" s="20">
        <v>0</v>
      </c>
      <c r="F15" s="20">
        <v>0</v>
      </c>
      <c r="G15" s="21">
        <f t="shared" si="1"/>
        <v>3660.3</v>
      </c>
      <c r="H15" s="22" t="s">
        <v>63</v>
      </c>
    </row>
    <row r="16" spans="2:8" ht="15" customHeight="1" x14ac:dyDescent="0.25">
      <c r="B16" s="18" t="s">
        <v>64</v>
      </c>
      <c r="C16" s="19">
        <f t="shared" si="0"/>
        <v>6.9999999999999993E-2</v>
      </c>
      <c r="D16" s="20">
        <v>2562.19</v>
      </c>
      <c r="E16" s="20">
        <v>1900</v>
      </c>
      <c r="F16" s="20">
        <v>2858.41</v>
      </c>
      <c r="G16" s="21">
        <f t="shared" si="1"/>
        <v>7320.6</v>
      </c>
      <c r="H16" s="22" t="s">
        <v>60</v>
      </c>
    </row>
    <row r="17" spans="2:13" ht="15" customHeight="1" x14ac:dyDescent="0.25">
      <c r="B17" s="18" t="s">
        <v>65</v>
      </c>
      <c r="C17" s="19">
        <f t="shared" si="0"/>
        <v>3.4999999999999996E-2</v>
      </c>
      <c r="D17" s="20">
        <v>3660.3</v>
      </c>
      <c r="E17" s="20">
        <v>0</v>
      </c>
      <c r="F17" s="20">
        <v>0</v>
      </c>
      <c r="G17" s="21">
        <f t="shared" si="1"/>
        <v>3660.3</v>
      </c>
      <c r="H17" s="22" t="s">
        <v>66</v>
      </c>
    </row>
    <row r="18" spans="2:13" ht="15" customHeight="1" x14ac:dyDescent="0.25">
      <c r="B18" s="18" t="s">
        <v>9</v>
      </c>
      <c r="C18" s="19">
        <f t="shared" si="0"/>
        <v>6.9999999999999993E-2</v>
      </c>
      <c r="D18" s="20">
        <v>7320.6</v>
      </c>
      <c r="E18" s="20">
        <v>0</v>
      </c>
      <c r="F18" s="20">
        <v>0</v>
      </c>
      <c r="G18" s="21">
        <f t="shared" si="1"/>
        <v>7320.6</v>
      </c>
      <c r="H18" s="22" t="s">
        <v>66</v>
      </c>
    </row>
    <row r="19" spans="2:13" ht="15" customHeight="1" x14ac:dyDescent="0.25">
      <c r="B19" s="18"/>
      <c r="C19" s="19"/>
      <c r="D19" s="20"/>
      <c r="E19" s="20"/>
      <c r="F19" s="20"/>
      <c r="G19" s="21"/>
      <c r="H19" s="22"/>
    </row>
    <row r="20" spans="2:13" ht="15" customHeight="1" x14ac:dyDescent="0.25">
      <c r="B20" s="23" t="s">
        <v>67</v>
      </c>
      <c r="C20" s="24">
        <f>SUM(C12:C19)</f>
        <v>0.99999999999999989</v>
      </c>
      <c r="D20" s="25">
        <f>SUM(D12:D19)</f>
        <v>43557.56</v>
      </c>
      <c r="E20" s="25">
        <f>SUM(E12:E19)</f>
        <v>23250</v>
      </c>
      <c r="F20" s="25">
        <f>SUM(F12:F19)</f>
        <v>37772.44</v>
      </c>
      <c r="G20" s="25">
        <f>SUM(G12:G19)</f>
        <v>104580.00000000001</v>
      </c>
      <c r="H20" s="26"/>
    </row>
    <row r="21" spans="2:13" ht="21.75" customHeight="1" x14ac:dyDescent="0.25">
      <c r="B21" s="107" t="s">
        <v>68</v>
      </c>
      <c r="C21" s="107"/>
      <c r="D21" s="107"/>
      <c r="E21" s="107"/>
      <c r="F21" s="107"/>
      <c r="G21" s="107"/>
      <c r="H21" s="107"/>
    </row>
    <row r="22" spans="2:13" ht="49.5" customHeight="1" x14ac:dyDescent="0.25">
      <c r="B22" s="108" t="s">
        <v>69</v>
      </c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</row>
    <row r="23" spans="2:13" ht="24.75" customHeight="1" x14ac:dyDescent="0.25">
      <c r="B23" s="17" t="s">
        <v>34</v>
      </c>
      <c r="C23" s="17" t="s">
        <v>70</v>
      </c>
      <c r="D23" s="17" t="s">
        <v>56</v>
      </c>
      <c r="F23" s="17" t="s">
        <v>71</v>
      </c>
    </row>
    <row r="24" spans="2:13" ht="21.75" customHeight="1" x14ac:dyDescent="0.25">
      <c r="B24" s="27" t="s">
        <v>38</v>
      </c>
      <c r="C24" s="28">
        <v>61022.44</v>
      </c>
      <c r="D24" s="19">
        <f>C24/$C$27</f>
        <v>0.58350009562057759</v>
      </c>
      <c r="E24" s="29"/>
      <c r="F24" s="104" t="s">
        <v>72</v>
      </c>
      <c r="G24" s="104"/>
      <c r="H24" s="104"/>
    </row>
    <row r="25" spans="2:13" ht="30" customHeight="1" x14ac:dyDescent="0.25">
      <c r="B25" s="27" t="s">
        <v>39</v>
      </c>
      <c r="C25" s="28">
        <v>43557.56</v>
      </c>
      <c r="D25" s="19">
        <f>C25/$C$27</f>
        <v>0.41649990437942241</v>
      </c>
      <c r="E25" s="29"/>
      <c r="F25" s="104" t="s">
        <v>73</v>
      </c>
      <c r="G25" s="104"/>
      <c r="H25" s="104"/>
    </row>
    <row r="26" spans="2:13" ht="21.75" customHeight="1" x14ac:dyDescent="0.25">
      <c r="B26" s="27" t="s">
        <v>74</v>
      </c>
      <c r="C26" s="28">
        <v>0</v>
      </c>
      <c r="D26" s="19">
        <f>C26/$C$27</f>
        <v>0</v>
      </c>
      <c r="E26" s="29"/>
      <c r="F26" s="104" t="s">
        <v>75</v>
      </c>
      <c r="G26" s="104"/>
      <c r="H26" s="104"/>
    </row>
    <row r="27" spans="2:13" ht="21.75" customHeight="1" x14ac:dyDescent="0.25">
      <c r="B27" s="30" t="s">
        <v>67</v>
      </c>
      <c r="C27" s="31">
        <f>SUM(C24:C26)</f>
        <v>104580</v>
      </c>
      <c r="D27" s="32">
        <f>SUM(D24:D26)</f>
        <v>1</v>
      </c>
      <c r="E27" s="33"/>
      <c r="F27" s="105" t="s">
        <v>76</v>
      </c>
      <c r="G27" s="105"/>
      <c r="H27" s="105"/>
    </row>
    <row r="28" spans="2:13" ht="21.75" customHeight="1" x14ac:dyDescent="0.25">
      <c r="B28" s="106" t="s">
        <v>77</v>
      </c>
      <c r="C28" s="106"/>
      <c r="D28" s="106"/>
      <c r="E28" s="106"/>
      <c r="F28" s="106"/>
      <c r="G28" s="106"/>
      <c r="H28" s="106"/>
    </row>
    <row r="29" spans="2:13" ht="18" customHeight="1" x14ac:dyDescent="0.25"/>
    <row r="30" spans="2:13" ht="18" customHeight="1" x14ac:dyDescent="0.25"/>
    <row r="31" spans="2:13" ht="20.25" customHeight="1" x14ac:dyDescent="0.25"/>
    <row r="32" spans="2:13" ht="21.75" customHeight="1" x14ac:dyDescent="0.25">
      <c r="B32" s="1" t="s">
        <v>78</v>
      </c>
    </row>
    <row r="33" spans="2:14" ht="21.75" customHeight="1" x14ac:dyDescent="0.25">
      <c r="B33" s="17" t="s">
        <v>11</v>
      </c>
      <c r="C33" s="17" t="s">
        <v>79</v>
      </c>
      <c r="D33" s="17" t="s">
        <v>80</v>
      </c>
      <c r="E33" s="17" t="s">
        <v>34</v>
      </c>
      <c r="F33" s="17" t="s">
        <v>81</v>
      </c>
      <c r="G33" s="17" t="s">
        <v>82</v>
      </c>
      <c r="H33" s="17" t="s">
        <v>70</v>
      </c>
      <c r="I33" s="17" t="s">
        <v>83</v>
      </c>
      <c r="J33" s="17" t="s">
        <v>84</v>
      </c>
      <c r="K33" s="17" t="s">
        <v>85</v>
      </c>
      <c r="L33" s="17" t="s">
        <v>86</v>
      </c>
      <c r="M33" s="17" t="s">
        <v>87</v>
      </c>
      <c r="N33" s="17" t="s">
        <v>88</v>
      </c>
    </row>
    <row r="34" spans="2:14" ht="15" customHeight="1" x14ac:dyDescent="0.25">
      <c r="B34" s="34" t="s">
        <v>89</v>
      </c>
      <c r="C34" s="35"/>
      <c r="D34" s="35"/>
      <c r="E34" s="35"/>
      <c r="F34" s="35"/>
      <c r="G34" s="36" t="s">
        <v>90</v>
      </c>
      <c r="H34" s="37">
        <v>52290</v>
      </c>
      <c r="I34" s="35"/>
      <c r="J34" s="35"/>
      <c r="K34" s="35"/>
      <c r="L34" s="35"/>
      <c r="M34" s="35"/>
      <c r="N34" s="35"/>
    </row>
    <row r="35" spans="2:14" ht="36.75" customHeight="1" x14ac:dyDescent="0.25">
      <c r="B35" s="38" t="s">
        <v>3</v>
      </c>
      <c r="C35" s="38" t="s">
        <v>91</v>
      </c>
      <c r="D35" s="39" t="s">
        <v>92</v>
      </c>
      <c r="E35" s="40" t="s">
        <v>39</v>
      </c>
      <c r="F35" s="39" t="s">
        <v>93</v>
      </c>
      <c r="G35" s="41">
        <v>6.6900000000000001E-2</v>
      </c>
      <c r="H35" s="20">
        <v>3500</v>
      </c>
      <c r="I35" s="42">
        <v>18</v>
      </c>
      <c r="J35" s="43">
        <f t="shared" ref="J35:J43" si="2">I35/1000/K35</f>
        <v>22.499999999999996</v>
      </c>
      <c r="K35" s="44">
        <v>8.0000000000000004E-4</v>
      </c>
      <c r="L35" s="45">
        <f t="shared" ref="L35:L43" si="3">H35/I35*1000</f>
        <v>194444.44444444447</v>
      </c>
      <c r="M35" s="45">
        <f t="shared" ref="M35:M43" si="4">L35*K35</f>
        <v>155.55555555555557</v>
      </c>
      <c r="N35" s="46" t="s">
        <v>83</v>
      </c>
    </row>
    <row r="36" spans="2:14" ht="36.75" customHeight="1" x14ac:dyDescent="0.25">
      <c r="B36" s="38" t="s">
        <v>3</v>
      </c>
      <c r="C36" s="38" t="s">
        <v>91</v>
      </c>
      <c r="D36" s="39" t="s">
        <v>94</v>
      </c>
      <c r="E36" s="40" t="s">
        <v>39</v>
      </c>
      <c r="F36" s="39" t="s">
        <v>95</v>
      </c>
      <c r="G36" s="41">
        <v>6.6900000000000001E-2</v>
      </c>
      <c r="H36" s="20">
        <v>3500</v>
      </c>
      <c r="I36" s="42">
        <v>16</v>
      </c>
      <c r="J36" s="43">
        <f t="shared" si="2"/>
        <v>20</v>
      </c>
      <c r="K36" s="44">
        <v>8.0000000000000004E-4</v>
      </c>
      <c r="L36" s="45">
        <f t="shared" si="3"/>
        <v>218750</v>
      </c>
      <c r="M36" s="45">
        <f t="shared" si="4"/>
        <v>175</v>
      </c>
      <c r="N36" s="46" t="s">
        <v>83</v>
      </c>
    </row>
    <row r="37" spans="2:14" ht="36.75" customHeight="1" x14ac:dyDescent="0.25">
      <c r="B37" s="38" t="s">
        <v>3</v>
      </c>
      <c r="C37" s="38" t="s">
        <v>96</v>
      </c>
      <c r="D37" s="39" t="s">
        <v>97</v>
      </c>
      <c r="E37" s="40" t="s">
        <v>39</v>
      </c>
      <c r="F37" s="39" t="s">
        <v>98</v>
      </c>
      <c r="G37" s="41">
        <v>0.1671</v>
      </c>
      <c r="H37" s="20">
        <v>8739.31</v>
      </c>
      <c r="I37" s="42">
        <v>14</v>
      </c>
      <c r="J37" s="43">
        <f t="shared" si="2"/>
        <v>7.7777777777777786</v>
      </c>
      <c r="K37" s="44">
        <v>1.8E-3</v>
      </c>
      <c r="L37" s="45">
        <f t="shared" si="3"/>
        <v>624236.42857142852</v>
      </c>
      <c r="M37" s="45">
        <f t="shared" si="4"/>
        <v>1123.6255714285712</v>
      </c>
      <c r="N37" s="46" t="s">
        <v>83</v>
      </c>
    </row>
    <row r="38" spans="2:14" ht="36.75" customHeight="1" x14ac:dyDescent="0.25">
      <c r="B38" s="38" t="s">
        <v>3</v>
      </c>
      <c r="C38" s="38" t="s">
        <v>99</v>
      </c>
      <c r="D38" s="39" t="s">
        <v>100</v>
      </c>
      <c r="E38" s="40" t="s">
        <v>38</v>
      </c>
      <c r="F38" s="39" t="s">
        <v>101</v>
      </c>
      <c r="G38" s="41">
        <v>0.2878</v>
      </c>
      <c r="H38" s="20">
        <v>15050.69</v>
      </c>
      <c r="I38" s="42">
        <v>78</v>
      </c>
      <c r="J38" s="43">
        <f t="shared" si="2"/>
        <v>20.526315789473685</v>
      </c>
      <c r="K38" s="44">
        <v>3.8E-3</v>
      </c>
      <c r="L38" s="45">
        <f t="shared" si="3"/>
        <v>192957.56410256409</v>
      </c>
      <c r="M38" s="45">
        <f t="shared" si="4"/>
        <v>733.23874358974354</v>
      </c>
      <c r="N38" s="46" t="s">
        <v>83</v>
      </c>
    </row>
    <row r="39" spans="2:14" ht="36.75" customHeight="1" x14ac:dyDescent="0.25">
      <c r="B39" s="38" t="s">
        <v>3</v>
      </c>
      <c r="C39" s="38" t="s">
        <v>102</v>
      </c>
      <c r="D39" s="39" t="s">
        <v>103</v>
      </c>
      <c r="E39" s="40" t="s">
        <v>38</v>
      </c>
      <c r="F39" s="39" t="s">
        <v>104</v>
      </c>
      <c r="G39" s="41">
        <v>0.1147</v>
      </c>
      <c r="H39" s="20">
        <v>6000</v>
      </c>
      <c r="I39" s="42">
        <v>65</v>
      </c>
      <c r="J39" s="43">
        <f t="shared" si="2"/>
        <v>16.666666666666668</v>
      </c>
      <c r="K39" s="44">
        <v>3.8999999999999998E-3</v>
      </c>
      <c r="L39" s="45">
        <f t="shared" si="3"/>
        <v>92307.692307692312</v>
      </c>
      <c r="M39" s="45">
        <f t="shared" si="4"/>
        <v>360</v>
      </c>
      <c r="N39" s="46" t="s">
        <v>83</v>
      </c>
    </row>
    <row r="40" spans="2:14" ht="36.75" customHeight="1" x14ac:dyDescent="0.25">
      <c r="B40" s="38" t="s">
        <v>3</v>
      </c>
      <c r="C40" s="38" t="s">
        <v>102</v>
      </c>
      <c r="D40" s="39" t="s">
        <v>105</v>
      </c>
      <c r="E40" s="40" t="s">
        <v>38</v>
      </c>
      <c r="F40" s="39" t="s">
        <v>106</v>
      </c>
      <c r="G40" s="41">
        <v>8.6099999999999996E-2</v>
      </c>
      <c r="H40" s="20">
        <v>4500</v>
      </c>
      <c r="I40" s="42">
        <v>16</v>
      </c>
      <c r="J40" s="43">
        <f t="shared" si="2"/>
        <v>22.857142857142858</v>
      </c>
      <c r="K40" s="44">
        <v>6.9999999999999999E-4</v>
      </c>
      <c r="L40" s="45">
        <f t="shared" si="3"/>
        <v>281250</v>
      </c>
      <c r="M40" s="45">
        <f t="shared" si="4"/>
        <v>196.875</v>
      </c>
      <c r="N40" s="46" t="s">
        <v>83</v>
      </c>
    </row>
    <row r="41" spans="2:14" ht="36.75" customHeight="1" x14ac:dyDescent="0.25">
      <c r="B41" s="38" t="s">
        <v>3</v>
      </c>
      <c r="C41" s="38" t="s">
        <v>102</v>
      </c>
      <c r="D41" s="39" t="s">
        <v>107</v>
      </c>
      <c r="E41" s="40" t="s">
        <v>38</v>
      </c>
      <c r="F41" s="39" t="s">
        <v>108</v>
      </c>
      <c r="G41" s="41">
        <v>8.6099999999999996E-2</v>
      </c>
      <c r="H41" s="20">
        <v>4500</v>
      </c>
      <c r="I41" s="42">
        <v>37</v>
      </c>
      <c r="J41" s="43">
        <f t="shared" si="2"/>
        <v>8.8095238095238102</v>
      </c>
      <c r="K41" s="44">
        <v>4.1999999999999997E-3</v>
      </c>
      <c r="L41" s="45">
        <f t="shared" si="3"/>
        <v>121621.62162162163</v>
      </c>
      <c r="M41" s="45">
        <f t="shared" si="4"/>
        <v>510.81081081081078</v>
      </c>
      <c r="N41" s="46" t="s">
        <v>83</v>
      </c>
    </row>
    <row r="42" spans="2:14" ht="36.75" customHeight="1" x14ac:dyDescent="0.25">
      <c r="B42" s="38" t="s">
        <v>3</v>
      </c>
      <c r="C42" s="38" t="s">
        <v>102</v>
      </c>
      <c r="D42" s="39" t="s">
        <v>103</v>
      </c>
      <c r="E42" s="40" t="s">
        <v>38</v>
      </c>
      <c r="F42" s="39" t="s">
        <v>109</v>
      </c>
      <c r="G42" s="41">
        <v>6.6900000000000001E-2</v>
      </c>
      <c r="H42" s="20">
        <v>3500</v>
      </c>
      <c r="I42" s="42">
        <v>40</v>
      </c>
      <c r="J42" s="43">
        <f t="shared" si="2"/>
        <v>11.428571428571429</v>
      </c>
      <c r="K42" s="44">
        <v>3.5000000000000001E-3</v>
      </c>
      <c r="L42" s="45">
        <f t="shared" si="3"/>
        <v>87500</v>
      </c>
      <c r="M42" s="45">
        <f t="shared" si="4"/>
        <v>306.25</v>
      </c>
      <c r="N42" s="46" t="s">
        <v>83</v>
      </c>
    </row>
    <row r="43" spans="2:14" ht="21.75" customHeight="1" x14ac:dyDescent="0.25">
      <c r="B43" s="38" t="s">
        <v>3</v>
      </c>
      <c r="C43" s="38" t="s">
        <v>99</v>
      </c>
      <c r="D43" s="39" t="s">
        <v>110</v>
      </c>
      <c r="E43" s="40" t="s">
        <v>38</v>
      </c>
      <c r="F43" s="39" t="s">
        <v>111</v>
      </c>
      <c r="G43" s="41">
        <v>5.74E-2</v>
      </c>
      <c r="H43" s="20">
        <v>3000</v>
      </c>
      <c r="I43" s="42">
        <v>45</v>
      </c>
      <c r="J43" s="43">
        <f t="shared" si="2"/>
        <v>15</v>
      </c>
      <c r="K43" s="44">
        <v>3.0000000000000001E-3</v>
      </c>
      <c r="L43" s="45">
        <f t="shared" si="3"/>
        <v>66666.666666666672</v>
      </c>
      <c r="M43" s="45">
        <f t="shared" si="4"/>
        <v>200.00000000000003</v>
      </c>
      <c r="N43" s="46" t="s">
        <v>83</v>
      </c>
    </row>
    <row r="44" spans="2:14" ht="35.25" customHeight="1" x14ac:dyDescent="0.25">
      <c r="B44" s="47" t="s">
        <v>112</v>
      </c>
      <c r="C44" s="48"/>
      <c r="D44" s="48"/>
      <c r="E44" s="48"/>
      <c r="F44" s="48"/>
      <c r="G44" s="48"/>
      <c r="H44" s="49">
        <f>SUM(H35:H43)</f>
        <v>52290</v>
      </c>
      <c r="I44" s="48"/>
      <c r="J44" s="48"/>
      <c r="K44" s="48"/>
      <c r="L44" s="48"/>
      <c r="M44" s="48"/>
      <c r="N44" s="48"/>
    </row>
    <row r="45" spans="2:14" ht="35.25" customHeight="1" x14ac:dyDescent="0.25">
      <c r="B45" s="34" t="s">
        <v>113</v>
      </c>
      <c r="C45" s="35"/>
      <c r="D45" s="35"/>
      <c r="E45" s="35"/>
      <c r="F45" s="35"/>
      <c r="G45" s="36" t="s">
        <v>90</v>
      </c>
      <c r="H45" s="37">
        <v>19870.2</v>
      </c>
      <c r="I45" s="35"/>
      <c r="J45" s="35"/>
      <c r="K45" s="35"/>
      <c r="L45" s="35"/>
      <c r="M45" s="35"/>
      <c r="N45" s="35"/>
    </row>
    <row r="46" spans="2:14" ht="35.25" customHeight="1" x14ac:dyDescent="0.25">
      <c r="B46" s="38" t="s">
        <v>114</v>
      </c>
      <c r="C46" s="38" t="s">
        <v>91</v>
      </c>
      <c r="D46" s="39" t="s">
        <v>115</v>
      </c>
      <c r="E46" s="40" t="s">
        <v>39</v>
      </c>
      <c r="F46" s="39" t="s">
        <v>116</v>
      </c>
      <c r="G46" s="41">
        <v>9.06E-2</v>
      </c>
      <c r="H46" s="20">
        <v>1800</v>
      </c>
      <c r="I46" s="42">
        <v>14</v>
      </c>
      <c r="J46" s="43">
        <f t="shared" ref="J46:J53" si="5">I46/1000/K46</f>
        <v>20</v>
      </c>
      <c r="K46" s="44">
        <v>6.9999999999999999E-4</v>
      </c>
      <c r="L46" s="45">
        <f t="shared" ref="L46:L53" si="6">H46/I46*1000</f>
        <v>128571.42857142858</v>
      </c>
      <c r="M46" s="45">
        <f t="shared" ref="M46:M53" si="7">L46*K46</f>
        <v>90</v>
      </c>
      <c r="N46" s="46" t="s">
        <v>83</v>
      </c>
    </row>
    <row r="47" spans="2:14" ht="35.25" customHeight="1" x14ac:dyDescent="0.25">
      <c r="B47" s="38" t="s">
        <v>114</v>
      </c>
      <c r="C47" s="38" t="s">
        <v>91</v>
      </c>
      <c r="D47" s="39" t="s">
        <v>117</v>
      </c>
      <c r="E47" s="40" t="s">
        <v>39</v>
      </c>
      <c r="F47" s="39" t="s">
        <v>95</v>
      </c>
      <c r="G47" s="41">
        <v>5.0299999999999997E-2</v>
      </c>
      <c r="H47" s="20">
        <v>1000</v>
      </c>
      <c r="I47" s="42">
        <v>12</v>
      </c>
      <c r="J47" s="43">
        <f t="shared" si="5"/>
        <v>20.000000000000004</v>
      </c>
      <c r="K47" s="44">
        <v>5.9999999999999995E-4</v>
      </c>
      <c r="L47" s="45">
        <f t="shared" si="6"/>
        <v>83333.333333333328</v>
      </c>
      <c r="M47" s="45">
        <f t="shared" si="7"/>
        <v>49.999999999999993</v>
      </c>
      <c r="N47" s="46" t="s">
        <v>83</v>
      </c>
    </row>
    <row r="48" spans="2:14" ht="35.25" customHeight="1" x14ac:dyDescent="0.25">
      <c r="B48" s="38" t="s">
        <v>118</v>
      </c>
      <c r="C48" s="38" t="s">
        <v>91</v>
      </c>
      <c r="D48" s="39" t="s">
        <v>119</v>
      </c>
      <c r="E48" s="40" t="s">
        <v>39</v>
      </c>
      <c r="F48" s="39" t="s">
        <v>116</v>
      </c>
      <c r="G48" s="41">
        <v>6.0400000000000002E-2</v>
      </c>
      <c r="H48" s="20">
        <v>1200</v>
      </c>
      <c r="I48" s="42">
        <v>12</v>
      </c>
      <c r="J48" s="43">
        <f t="shared" si="5"/>
        <v>24</v>
      </c>
      <c r="K48" s="44">
        <v>5.0000000000000001E-4</v>
      </c>
      <c r="L48" s="45">
        <f t="shared" si="6"/>
        <v>100000</v>
      </c>
      <c r="M48" s="45">
        <f t="shared" si="7"/>
        <v>50</v>
      </c>
      <c r="N48" s="46" t="s">
        <v>83</v>
      </c>
    </row>
    <row r="49" spans="2:14" ht="35.25" customHeight="1" x14ac:dyDescent="0.25">
      <c r="B49" s="38" t="s">
        <v>4</v>
      </c>
      <c r="C49" s="38" t="s">
        <v>96</v>
      </c>
      <c r="D49" s="39" t="s">
        <v>120</v>
      </c>
      <c r="E49" s="40" t="s">
        <v>39</v>
      </c>
      <c r="F49" s="39" t="s">
        <v>121</v>
      </c>
      <c r="G49" s="41">
        <v>0.1487</v>
      </c>
      <c r="H49" s="20">
        <v>2954.56</v>
      </c>
      <c r="I49" s="42">
        <v>11</v>
      </c>
      <c r="J49" s="43">
        <f t="shared" si="5"/>
        <v>6.4705882352941178</v>
      </c>
      <c r="K49" s="44">
        <v>1.6999999999999999E-3</v>
      </c>
      <c r="L49" s="45">
        <f t="shared" si="6"/>
        <v>268596.36363636359</v>
      </c>
      <c r="M49" s="45">
        <f t="shared" si="7"/>
        <v>456.61381818181809</v>
      </c>
      <c r="N49" s="46" t="s">
        <v>83</v>
      </c>
    </row>
    <row r="50" spans="2:14" ht="35.25" customHeight="1" x14ac:dyDescent="0.25">
      <c r="B50" s="38" t="s">
        <v>114</v>
      </c>
      <c r="C50" s="38" t="s">
        <v>102</v>
      </c>
      <c r="D50" s="39" t="s">
        <v>122</v>
      </c>
      <c r="E50" s="40" t="s">
        <v>38</v>
      </c>
      <c r="F50" s="39" t="s">
        <v>123</v>
      </c>
      <c r="G50" s="41">
        <v>8.6099999999999996E-2</v>
      </c>
      <c r="H50" s="20">
        <v>1710</v>
      </c>
      <c r="I50" s="42">
        <v>70</v>
      </c>
      <c r="J50" s="43">
        <f t="shared" si="5"/>
        <v>15.555555555555559</v>
      </c>
      <c r="K50" s="44">
        <v>4.4999999999999997E-3</v>
      </c>
      <c r="L50" s="45">
        <f t="shared" si="6"/>
        <v>24428.571428571428</v>
      </c>
      <c r="M50" s="45">
        <f t="shared" si="7"/>
        <v>109.92857142857142</v>
      </c>
      <c r="N50" s="46" t="s">
        <v>83</v>
      </c>
    </row>
    <row r="51" spans="2:14" ht="35.25" customHeight="1" x14ac:dyDescent="0.25">
      <c r="B51" s="38" t="s">
        <v>118</v>
      </c>
      <c r="C51" s="38" t="s">
        <v>102</v>
      </c>
      <c r="D51" s="39" t="s">
        <v>124</v>
      </c>
      <c r="E51" s="40" t="s">
        <v>38</v>
      </c>
      <c r="F51" s="39" t="s">
        <v>123</v>
      </c>
      <c r="G51" s="41">
        <v>5.74E-2</v>
      </c>
      <c r="H51" s="20">
        <v>1140</v>
      </c>
      <c r="I51" s="42">
        <v>55</v>
      </c>
      <c r="J51" s="43">
        <f t="shared" si="5"/>
        <v>13.75</v>
      </c>
      <c r="K51" s="44">
        <v>4.0000000000000001E-3</v>
      </c>
      <c r="L51" s="45">
        <f t="shared" si="6"/>
        <v>20727.272727272728</v>
      </c>
      <c r="M51" s="45">
        <f t="shared" si="7"/>
        <v>82.909090909090907</v>
      </c>
      <c r="N51" s="46" t="s">
        <v>83</v>
      </c>
    </row>
    <row r="52" spans="2:14" ht="32.25" customHeight="1" x14ac:dyDescent="0.25">
      <c r="B52" s="38" t="s">
        <v>4</v>
      </c>
      <c r="C52" s="38" t="s">
        <v>99</v>
      </c>
      <c r="D52" s="39" t="s">
        <v>125</v>
      </c>
      <c r="E52" s="40" t="s">
        <v>38</v>
      </c>
      <c r="F52" s="39" t="s">
        <v>126</v>
      </c>
      <c r="G52" s="41">
        <v>0.30199999999999999</v>
      </c>
      <c r="H52" s="20">
        <v>6000</v>
      </c>
      <c r="I52" s="42">
        <v>80</v>
      </c>
      <c r="J52" s="43">
        <f t="shared" si="5"/>
        <v>8.4210526315789469</v>
      </c>
      <c r="K52" s="44">
        <v>9.4999999999999998E-3</v>
      </c>
      <c r="L52" s="45">
        <f t="shared" si="6"/>
        <v>75000</v>
      </c>
      <c r="M52" s="45">
        <f t="shared" si="7"/>
        <v>712.5</v>
      </c>
      <c r="N52" s="46" t="s">
        <v>83</v>
      </c>
    </row>
    <row r="53" spans="2:14" ht="21.75" customHeight="1" x14ac:dyDescent="0.25">
      <c r="B53" s="38" t="s">
        <v>4</v>
      </c>
      <c r="C53" s="38" t="s">
        <v>99</v>
      </c>
      <c r="D53" s="39" t="s">
        <v>127</v>
      </c>
      <c r="E53" s="40" t="s">
        <v>38</v>
      </c>
      <c r="F53" s="39" t="s">
        <v>128</v>
      </c>
      <c r="G53" s="41">
        <v>0.2046</v>
      </c>
      <c r="H53" s="20">
        <v>4065.64</v>
      </c>
      <c r="I53" s="42">
        <v>80</v>
      </c>
      <c r="J53" s="43">
        <f t="shared" si="5"/>
        <v>14.545454545454547</v>
      </c>
      <c r="K53" s="44">
        <v>5.4999999999999997E-3</v>
      </c>
      <c r="L53" s="45">
        <f t="shared" si="6"/>
        <v>50820.499999999993</v>
      </c>
      <c r="M53" s="45">
        <f t="shared" si="7"/>
        <v>279.51274999999993</v>
      </c>
      <c r="N53" s="46" t="s">
        <v>83</v>
      </c>
    </row>
    <row r="54" spans="2:14" ht="47.25" customHeight="1" x14ac:dyDescent="0.25">
      <c r="B54" s="47" t="s">
        <v>112</v>
      </c>
      <c r="C54" s="48"/>
      <c r="D54" s="48"/>
      <c r="E54" s="48"/>
      <c r="F54" s="48"/>
      <c r="G54" s="48"/>
      <c r="H54" s="49">
        <f>SUM(H46:H53)</f>
        <v>19870.2</v>
      </c>
      <c r="I54" s="48"/>
      <c r="J54" s="48"/>
      <c r="K54" s="48"/>
      <c r="L54" s="48"/>
      <c r="M54" s="48"/>
      <c r="N54" s="48"/>
    </row>
    <row r="55" spans="2:14" ht="47.25" customHeight="1" x14ac:dyDescent="0.25">
      <c r="B55" s="34" t="s">
        <v>129</v>
      </c>
      <c r="C55" s="35"/>
      <c r="D55" s="35"/>
      <c r="E55" s="35"/>
      <c r="F55" s="35"/>
      <c r="G55" s="36" t="s">
        <v>90</v>
      </c>
      <c r="H55" s="37">
        <v>10458</v>
      </c>
      <c r="I55" s="35"/>
      <c r="J55" s="35"/>
      <c r="K55" s="35"/>
      <c r="L55" s="35"/>
      <c r="M55" s="35"/>
      <c r="N55" s="35"/>
    </row>
    <row r="56" spans="2:14" ht="47.25" customHeight="1" x14ac:dyDescent="0.25">
      <c r="B56" s="38" t="s">
        <v>130</v>
      </c>
      <c r="C56" s="38" t="s">
        <v>91</v>
      </c>
      <c r="D56" s="39" t="s">
        <v>131</v>
      </c>
      <c r="E56" s="40" t="s">
        <v>39</v>
      </c>
      <c r="F56" s="39" t="s">
        <v>116</v>
      </c>
      <c r="G56" s="41">
        <v>0.12429999999999999</v>
      </c>
      <c r="H56" s="20">
        <v>1300</v>
      </c>
      <c r="I56" s="42">
        <v>6</v>
      </c>
      <c r="J56" s="43">
        <f>I56/1000/K56</f>
        <v>5.0000000000000009</v>
      </c>
      <c r="K56" s="44">
        <v>1.1999999999999999E-3</v>
      </c>
      <c r="L56" s="45">
        <f>H56/I56*1000</f>
        <v>216666.66666666666</v>
      </c>
      <c r="M56" s="45">
        <f>L56*K56</f>
        <v>259.99999999999994</v>
      </c>
      <c r="N56" s="46" t="s">
        <v>83</v>
      </c>
    </row>
    <row r="57" spans="2:14" ht="47.25" customHeight="1" x14ac:dyDescent="0.25">
      <c r="B57" s="38" t="s">
        <v>130</v>
      </c>
      <c r="C57" s="38" t="s">
        <v>91</v>
      </c>
      <c r="D57" s="39" t="s">
        <v>132</v>
      </c>
      <c r="E57" s="40" t="s">
        <v>39</v>
      </c>
      <c r="F57" s="39" t="s">
        <v>95</v>
      </c>
      <c r="G57" s="41">
        <v>7.6499999999999999E-2</v>
      </c>
      <c r="H57" s="20">
        <v>800</v>
      </c>
      <c r="I57" s="42">
        <v>5</v>
      </c>
      <c r="J57" s="43">
        <f>I57/1000/K57</f>
        <v>5</v>
      </c>
      <c r="K57" s="44">
        <v>1E-3</v>
      </c>
      <c r="L57" s="45">
        <f>H57/I57*1000</f>
        <v>160000</v>
      </c>
      <c r="M57" s="45">
        <f>L57*K57</f>
        <v>160</v>
      </c>
      <c r="N57" s="46" t="s">
        <v>83</v>
      </c>
    </row>
    <row r="58" spans="2:14" ht="47.25" customHeight="1" x14ac:dyDescent="0.25">
      <c r="B58" s="38" t="s">
        <v>130</v>
      </c>
      <c r="C58" s="38" t="s">
        <v>96</v>
      </c>
      <c r="D58" s="39" t="s">
        <v>133</v>
      </c>
      <c r="E58" s="40" t="s">
        <v>39</v>
      </c>
      <c r="F58" s="39" t="s">
        <v>98</v>
      </c>
      <c r="G58" s="41">
        <v>0.1492</v>
      </c>
      <c r="H58" s="20">
        <v>1560.3</v>
      </c>
      <c r="I58" s="42">
        <v>5</v>
      </c>
      <c r="J58" s="43">
        <f>I58/1000/K58</f>
        <v>2.9411764705882355</v>
      </c>
      <c r="K58" s="44">
        <v>1.6999999999999999E-3</v>
      </c>
      <c r="L58" s="45">
        <f>H58/I58*1000</f>
        <v>312060</v>
      </c>
      <c r="M58" s="45">
        <f>L58*K58</f>
        <v>530.50199999999995</v>
      </c>
      <c r="N58" s="46" t="s">
        <v>83</v>
      </c>
    </row>
    <row r="59" spans="2:14" ht="21.75" customHeight="1" x14ac:dyDescent="0.25">
      <c r="B59" s="38" t="s">
        <v>130</v>
      </c>
      <c r="C59" s="38" t="s">
        <v>99</v>
      </c>
      <c r="D59" s="39" t="s">
        <v>134</v>
      </c>
      <c r="E59" s="40" t="s">
        <v>38</v>
      </c>
      <c r="F59" s="39" t="s">
        <v>135</v>
      </c>
      <c r="G59" s="41">
        <v>0.32500000000000001</v>
      </c>
      <c r="H59" s="20">
        <v>3398.85</v>
      </c>
      <c r="I59" s="42">
        <v>16.579999999999998</v>
      </c>
      <c r="J59" s="43">
        <f>I59/1000/K59</f>
        <v>3.0145454545454542</v>
      </c>
      <c r="K59" s="44">
        <v>5.4999999999999997E-3</v>
      </c>
      <c r="L59" s="45">
        <f>H59/I59*1000</f>
        <v>204996.98431845597</v>
      </c>
      <c r="M59" s="45">
        <f>L59*K59</f>
        <v>1127.4834137515077</v>
      </c>
      <c r="N59" s="46" t="s">
        <v>83</v>
      </c>
    </row>
    <row r="60" spans="2:14" ht="21.75" customHeight="1" x14ac:dyDescent="0.25">
      <c r="B60" s="38" t="s">
        <v>130</v>
      </c>
      <c r="C60" s="38" t="s">
        <v>99</v>
      </c>
      <c r="D60" s="39" t="s">
        <v>136</v>
      </c>
      <c r="E60" s="40" t="s">
        <v>38</v>
      </c>
      <c r="F60" s="39" t="s">
        <v>126</v>
      </c>
      <c r="G60" s="41">
        <v>0.32500000000000001</v>
      </c>
      <c r="H60" s="20">
        <v>3398.85</v>
      </c>
      <c r="I60" s="42">
        <v>7.23</v>
      </c>
      <c r="J60" s="43">
        <f>I60/1000/K60</f>
        <v>0.80333333333333345</v>
      </c>
      <c r="K60" s="44">
        <v>8.9999999999999993E-3</v>
      </c>
      <c r="L60" s="45">
        <f>H60/I60*1000</f>
        <v>470103.73443983402</v>
      </c>
      <c r="M60" s="45">
        <f>L60*K60</f>
        <v>4230.9336099585062</v>
      </c>
      <c r="N60" s="46" t="s">
        <v>83</v>
      </c>
    </row>
    <row r="61" spans="2:14" ht="45" customHeight="1" x14ac:dyDescent="0.25">
      <c r="B61" s="47" t="s">
        <v>112</v>
      </c>
      <c r="C61" s="48"/>
      <c r="D61" s="48"/>
      <c r="E61" s="48"/>
      <c r="F61" s="48"/>
      <c r="G61" s="48"/>
      <c r="H61" s="49">
        <f>SUM(H56:H60)</f>
        <v>10458</v>
      </c>
      <c r="I61" s="48"/>
      <c r="J61" s="48"/>
      <c r="K61" s="48"/>
      <c r="L61" s="48"/>
      <c r="M61" s="48"/>
      <c r="N61" s="48"/>
    </row>
    <row r="62" spans="2:14" ht="45" customHeight="1" x14ac:dyDescent="0.25">
      <c r="B62" s="34" t="s">
        <v>137</v>
      </c>
      <c r="C62" s="35"/>
      <c r="D62" s="35"/>
      <c r="E62" s="35"/>
      <c r="F62" s="35"/>
      <c r="G62" s="36" t="s">
        <v>90</v>
      </c>
      <c r="H62" s="37">
        <v>7320.6</v>
      </c>
      <c r="I62" s="35"/>
      <c r="J62" s="35"/>
      <c r="K62" s="35"/>
      <c r="L62" s="35"/>
      <c r="M62" s="35"/>
      <c r="N62" s="35"/>
    </row>
    <row r="63" spans="2:14" ht="45" customHeight="1" x14ac:dyDescent="0.25">
      <c r="B63" s="38" t="s">
        <v>138</v>
      </c>
      <c r="C63" s="38" t="s">
        <v>91</v>
      </c>
      <c r="D63" s="39" t="s">
        <v>139</v>
      </c>
      <c r="E63" s="40" t="s">
        <v>39</v>
      </c>
      <c r="F63" s="39" t="s">
        <v>116</v>
      </c>
      <c r="G63" s="41">
        <v>0.1229</v>
      </c>
      <c r="H63" s="20">
        <v>900</v>
      </c>
      <c r="I63" s="42">
        <v>14</v>
      </c>
      <c r="J63" s="43">
        <f>I63/1000/K63</f>
        <v>17.5</v>
      </c>
      <c r="K63" s="44">
        <v>8.0000000000000004E-4</v>
      </c>
      <c r="L63" s="45">
        <f>H63/I63*1000</f>
        <v>64285.71428571429</v>
      </c>
      <c r="M63" s="45">
        <f>L63*K63</f>
        <v>51.428571428571438</v>
      </c>
      <c r="N63" s="46" t="s">
        <v>83</v>
      </c>
    </row>
    <row r="64" spans="2:14" ht="45" customHeight="1" x14ac:dyDescent="0.25">
      <c r="B64" s="38" t="s">
        <v>138</v>
      </c>
      <c r="C64" s="38" t="s">
        <v>91</v>
      </c>
      <c r="D64" s="39" t="s">
        <v>140</v>
      </c>
      <c r="E64" s="40" t="s">
        <v>39</v>
      </c>
      <c r="F64" s="39" t="s">
        <v>95</v>
      </c>
      <c r="G64" s="41">
        <v>8.2000000000000003E-2</v>
      </c>
      <c r="H64" s="20">
        <v>600</v>
      </c>
      <c r="I64" s="42">
        <v>12</v>
      </c>
      <c r="J64" s="43">
        <f>I64/1000/K64</f>
        <v>20.000000000000004</v>
      </c>
      <c r="K64" s="44">
        <v>5.9999999999999995E-4</v>
      </c>
      <c r="L64" s="45">
        <f>H64/I64*1000</f>
        <v>50000</v>
      </c>
      <c r="M64" s="45">
        <f>L64*K64</f>
        <v>29.999999999999996</v>
      </c>
      <c r="N64" s="46" t="s">
        <v>83</v>
      </c>
    </row>
    <row r="65" spans="2:14" ht="45" customHeight="1" x14ac:dyDescent="0.25">
      <c r="B65" s="38" t="s">
        <v>138</v>
      </c>
      <c r="C65" s="38" t="s">
        <v>96</v>
      </c>
      <c r="D65" s="39" t="s">
        <v>141</v>
      </c>
      <c r="E65" s="40" t="s">
        <v>39</v>
      </c>
      <c r="F65" s="39" t="s">
        <v>98</v>
      </c>
      <c r="G65" s="41">
        <v>0.14510000000000001</v>
      </c>
      <c r="H65" s="20">
        <v>1062.19</v>
      </c>
      <c r="I65" s="42">
        <v>13</v>
      </c>
      <c r="J65" s="43">
        <f>I65/1000/K65</f>
        <v>7.6470588235294121</v>
      </c>
      <c r="K65" s="44">
        <v>1.6999999999999999E-3</v>
      </c>
      <c r="L65" s="45">
        <f>H65/I65*1000</f>
        <v>81706.923076923078</v>
      </c>
      <c r="M65" s="45">
        <f>L65*K65</f>
        <v>138.90176923076922</v>
      </c>
      <c r="N65" s="46" t="s">
        <v>83</v>
      </c>
    </row>
    <row r="66" spans="2:14" ht="15" customHeight="1" x14ac:dyDescent="0.25">
      <c r="B66" s="38" t="s">
        <v>138</v>
      </c>
      <c r="C66" s="38" t="s">
        <v>102</v>
      </c>
      <c r="D66" s="39" t="s">
        <v>142</v>
      </c>
      <c r="E66" s="40" t="s">
        <v>38</v>
      </c>
      <c r="F66" s="39" t="s">
        <v>123</v>
      </c>
      <c r="G66" s="41">
        <v>0.25950000000000001</v>
      </c>
      <c r="H66" s="20">
        <v>1900</v>
      </c>
      <c r="I66" s="42">
        <v>80</v>
      </c>
      <c r="J66" s="43">
        <f>I66/1000/K66</f>
        <v>22.857142857142858</v>
      </c>
      <c r="K66" s="44">
        <v>3.5000000000000001E-3</v>
      </c>
      <c r="L66" s="45">
        <f>H66/I66*1000</f>
        <v>23750</v>
      </c>
      <c r="M66" s="45">
        <f>L66*K66</f>
        <v>83.125</v>
      </c>
      <c r="N66" s="46" t="s">
        <v>83</v>
      </c>
    </row>
    <row r="67" spans="2:14" ht="15" customHeight="1" x14ac:dyDescent="0.25">
      <c r="B67" s="38" t="s">
        <v>138</v>
      </c>
      <c r="C67" s="38" t="s">
        <v>99</v>
      </c>
      <c r="D67" s="39" t="s">
        <v>143</v>
      </c>
      <c r="E67" s="40" t="s">
        <v>38</v>
      </c>
      <c r="F67" s="39" t="s">
        <v>126</v>
      </c>
      <c r="G67" s="41">
        <v>0.39050000000000001</v>
      </c>
      <c r="H67" s="20">
        <v>2858.41</v>
      </c>
      <c r="I67" s="42">
        <v>65</v>
      </c>
      <c r="J67" s="43">
        <f>I67/1000/K67</f>
        <v>8.6666666666666679</v>
      </c>
      <c r="K67" s="44">
        <v>7.4999999999999997E-3</v>
      </c>
      <c r="L67" s="45">
        <f>H67/I67*1000</f>
        <v>43975.538461538461</v>
      </c>
      <c r="M67" s="45">
        <f>L67*K67</f>
        <v>329.81653846153847</v>
      </c>
      <c r="N67" s="46" t="s">
        <v>83</v>
      </c>
    </row>
    <row r="68" spans="2:14" ht="46.5" customHeight="1" x14ac:dyDescent="0.25">
      <c r="B68" s="47" t="s">
        <v>112</v>
      </c>
      <c r="C68" s="48"/>
      <c r="D68" s="48"/>
      <c r="E68" s="48"/>
      <c r="F68" s="48"/>
      <c r="G68" s="48"/>
      <c r="H68" s="49">
        <f>SUM(H63:H67)</f>
        <v>7320.6</v>
      </c>
      <c r="I68" s="48"/>
      <c r="J68" s="48"/>
      <c r="K68" s="48"/>
      <c r="L68" s="48"/>
      <c r="M68" s="48"/>
      <c r="N68" s="48"/>
    </row>
    <row r="69" spans="2:14" ht="46.5" customHeight="1" x14ac:dyDescent="0.25">
      <c r="B69" s="34" t="s">
        <v>144</v>
      </c>
      <c r="C69" s="35"/>
      <c r="D69" s="35"/>
      <c r="E69" s="35"/>
      <c r="F69" s="35"/>
      <c r="G69" s="36" t="s">
        <v>90</v>
      </c>
      <c r="H69" s="37">
        <v>3660.3</v>
      </c>
      <c r="I69" s="35"/>
      <c r="J69" s="35"/>
      <c r="K69" s="35"/>
      <c r="L69" s="35"/>
      <c r="M69" s="35"/>
      <c r="N69" s="35"/>
    </row>
    <row r="70" spans="2:14" ht="46.5" customHeight="1" x14ac:dyDescent="0.25">
      <c r="B70" s="38" t="s">
        <v>145</v>
      </c>
      <c r="C70" s="38" t="s">
        <v>91</v>
      </c>
      <c r="D70" s="39" t="s">
        <v>146</v>
      </c>
      <c r="E70" s="40" t="s">
        <v>39</v>
      </c>
      <c r="F70" s="39" t="s">
        <v>147</v>
      </c>
      <c r="G70" s="41">
        <v>0.17499999999999999</v>
      </c>
      <c r="H70" s="20">
        <v>640.55999999999995</v>
      </c>
      <c r="I70" s="42">
        <v>14</v>
      </c>
      <c r="J70" s="43">
        <f>I70/1000/K70</f>
        <v>23.333333333333336</v>
      </c>
      <c r="K70" s="44">
        <v>5.9999999999999995E-4</v>
      </c>
      <c r="L70" s="45">
        <f>H70/I70*1000</f>
        <v>45754.28571428571</v>
      </c>
      <c r="M70" s="45">
        <f>L70*K70</f>
        <v>27.452571428571424</v>
      </c>
      <c r="N70" s="46" t="s">
        <v>83</v>
      </c>
    </row>
    <row r="71" spans="2:14" ht="21.75" customHeight="1" x14ac:dyDescent="0.25">
      <c r="B71" s="38" t="s">
        <v>145</v>
      </c>
      <c r="C71" s="38" t="s">
        <v>91</v>
      </c>
      <c r="D71" s="39" t="s">
        <v>148</v>
      </c>
      <c r="E71" s="40" t="s">
        <v>39</v>
      </c>
      <c r="F71" s="39" t="s">
        <v>149</v>
      </c>
      <c r="G71" s="41">
        <v>0.47499999999999998</v>
      </c>
      <c r="H71" s="20">
        <v>1738.65</v>
      </c>
      <c r="I71" s="42">
        <v>12</v>
      </c>
      <c r="J71" s="43">
        <f>I71/1000/K71</f>
        <v>24</v>
      </c>
      <c r="K71" s="44">
        <v>5.0000000000000001E-4</v>
      </c>
      <c r="L71" s="45">
        <f>H71/I71*1000</f>
        <v>144887.50000000003</v>
      </c>
      <c r="M71" s="45">
        <f>L71*K71</f>
        <v>72.443750000000023</v>
      </c>
      <c r="N71" s="46" t="s">
        <v>83</v>
      </c>
    </row>
    <row r="72" spans="2:14" ht="15" customHeight="1" x14ac:dyDescent="0.25">
      <c r="B72" s="38" t="s">
        <v>145</v>
      </c>
      <c r="C72" s="38" t="s">
        <v>96</v>
      </c>
      <c r="D72" s="39" t="s">
        <v>150</v>
      </c>
      <c r="E72" s="40" t="s">
        <v>39</v>
      </c>
      <c r="F72" s="39" t="s">
        <v>151</v>
      </c>
      <c r="G72" s="41">
        <v>0.35</v>
      </c>
      <c r="H72" s="20">
        <v>1281.0899999999999</v>
      </c>
      <c r="I72" s="42">
        <v>12</v>
      </c>
      <c r="J72" s="43">
        <f>I72/1000/K72</f>
        <v>8</v>
      </c>
      <c r="K72" s="44">
        <v>1.5E-3</v>
      </c>
      <c r="L72" s="45">
        <f>H72/I72*1000</f>
        <v>106757.5</v>
      </c>
      <c r="M72" s="45">
        <f>L72*K72</f>
        <v>160.13624999999999</v>
      </c>
      <c r="N72" s="46" t="s">
        <v>83</v>
      </c>
    </row>
    <row r="73" spans="2:14" ht="39.75" customHeight="1" x14ac:dyDescent="0.25">
      <c r="B73" s="47" t="s">
        <v>112</v>
      </c>
      <c r="C73" s="48"/>
      <c r="D73" s="48"/>
      <c r="E73" s="48"/>
      <c r="F73" s="48"/>
      <c r="G73" s="48"/>
      <c r="H73" s="49">
        <f>SUM(H70:H72)</f>
        <v>3660.3</v>
      </c>
      <c r="I73" s="48"/>
      <c r="J73" s="48"/>
      <c r="K73" s="48"/>
      <c r="L73" s="48"/>
      <c r="M73" s="48"/>
      <c r="N73" s="48"/>
    </row>
    <row r="74" spans="2:14" ht="39.75" customHeight="1" x14ac:dyDescent="0.25">
      <c r="B74" s="34" t="s">
        <v>152</v>
      </c>
      <c r="C74" s="35"/>
      <c r="D74" s="35"/>
      <c r="E74" s="35"/>
      <c r="F74" s="35"/>
      <c r="G74" s="36" t="s">
        <v>90</v>
      </c>
      <c r="H74" s="37">
        <v>3660.3</v>
      </c>
      <c r="I74" s="35"/>
      <c r="J74" s="35"/>
      <c r="K74" s="35"/>
      <c r="L74" s="35"/>
      <c r="M74" s="35"/>
      <c r="N74" s="35"/>
    </row>
    <row r="75" spans="2:14" ht="39.75" customHeight="1" x14ac:dyDescent="0.25">
      <c r="B75" s="38" t="s">
        <v>153</v>
      </c>
      <c r="C75" s="38" t="s">
        <v>91</v>
      </c>
      <c r="D75" s="39" t="s">
        <v>154</v>
      </c>
      <c r="E75" s="40" t="s">
        <v>39</v>
      </c>
      <c r="F75" s="39" t="s">
        <v>116</v>
      </c>
      <c r="G75" s="41">
        <v>0.31419999999999998</v>
      </c>
      <c r="H75" s="20">
        <v>1150</v>
      </c>
      <c r="I75" s="42">
        <v>12</v>
      </c>
      <c r="J75" s="43">
        <f>I75/1000/K75</f>
        <v>15</v>
      </c>
      <c r="K75" s="44">
        <v>8.0000000000000004E-4</v>
      </c>
      <c r="L75" s="45">
        <f>H75/I75*1000</f>
        <v>95833.333333333328</v>
      </c>
      <c r="M75" s="45">
        <f>L75*K75</f>
        <v>76.666666666666671</v>
      </c>
      <c r="N75" s="46" t="s">
        <v>83</v>
      </c>
    </row>
    <row r="76" spans="2:14" ht="21.75" customHeight="1" x14ac:dyDescent="0.25">
      <c r="B76" s="38" t="s">
        <v>153</v>
      </c>
      <c r="C76" s="38" t="s">
        <v>91</v>
      </c>
      <c r="D76" s="39" t="s">
        <v>155</v>
      </c>
      <c r="E76" s="40" t="s">
        <v>39</v>
      </c>
      <c r="F76" s="39" t="s">
        <v>156</v>
      </c>
      <c r="G76" s="41">
        <v>0.28689999999999999</v>
      </c>
      <c r="H76" s="20">
        <v>1050</v>
      </c>
      <c r="I76" s="42">
        <v>10</v>
      </c>
      <c r="J76" s="43">
        <f>I76/1000/K76</f>
        <v>16.666666666666668</v>
      </c>
      <c r="K76" s="44">
        <v>5.9999999999999995E-4</v>
      </c>
      <c r="L76" s="45">
        <f>H76/I76*1000</f>
        <v>105000</v>
      </c>
      <c r="M76" s="45">
        <f>L76*K76</f>
        <v>62.999999999999993</v>
      </c>
      <c r="N76" s="46" t="s">
        <v>83</v>
      </c>
    </row>
    <row r="77" spans="2:14" ht="21.75" customHeight="1" x14ac:dyDescent="0.25">
      <c r="B77" s="38" t="s">
        <v>153</v>
      </c>
      <c r="C77" s="38" t="s">
        <v>96</v>
      </c>
      <c r="D77" s="39" t="s">
        <v>157</v>
      </c>
      <c r="E77" s="40" t="s">
        <v>39</v>
      </c>
      <c r="F77" s="39" t="s">
        <v>121</v>
      </c>
      <c r="G77" s="41">
        <v>0.39900000000000002</v>
      </c>
      <c r="H77" s="20">
        <v>1460.3</v>
      </c>
      <c r="I77" s="42">
        <v>10</v>
      </c>
      <c r="J77" s="43">
        <f>I77/1000/K77</f>
        <v>5.882352941176471</v>
      </c>
      <c r="K77" s="44">
        <v>1.6999999999999999E-3</v>
      </c>
      <c r="L77" s="45">
        <f>H77/I77*1000</f>
        <v>146030</v>
      </c>
      <c r="M77" s="45">
        <f>L77*K77</f>
        <v>248.25099999999998</v>
      </c>
      <c r="N77" s="46" t="s">
        <v>83</v>
      </c>
    </row>
    <row r="78" spans="2:14" ht="36.75" customHeight="1" x14ac:dyDescent="0.25">
      <c r="B78" s="47" t="s">
        <v>112</v>
      </c>
      <c r="C78" s="48"/>
      <c r="D78" s="48"/>
      <c r="E78" s="48"/>
      <c r="F78" s="48"/>
      <c r="G78" s="48"/>
      <c r="H78" s="49">
        <f>SUM(H75:H77)</f>
        <v>3660.3</v>
      </c>
      <c r="I78" s="48"/>
      <c r="J78" s="48"/>
      <c r="K78" s="48"/>
      <c r="L78" s="48"/>
      <c r="M78" s="48"/>
      <c r="N78" s="48"/>
    </row>
    <row r="79" spans="2:14" ht="36.75" customHeight="1" x14ac:dyDescent="0.25">
      <c r="B79" s="34" t="s">
        <v>158</v>
      </c>
      <c r="C79" s="35"/>
      <c r="D79" s="35"/>
      <c r="E79" s="35"/>
      <c r="F79" s="35"/>
      <c r="G79" s="36" t="s">
        <v>90</v>
      </c>
      <c r="H79" s="37">
        <v>7320.6</v>
      </c>
      <c r="I79" s="35"/>
      <c r="J79" s="35"/>
      <c r="K79" s="35"/>
      <c r="L79" s="35"/>
      <c r="M79" s="35"/>
      <c r="N79" s="35"/>
    </row>
    <row r="80" spans="2:14" ht="36.75" customHeight="1" x14ac:dyDescent="0.25">
      <c r="B80" s="38" t="s">
        <v>9</v>
      </c>
      <c r="C80" s="38" t="s">
        <v>91</v>
      </c>
      <c r="D80" s="39" t="s">
        <v>159</v>
      </c>
      <c r="E80" s="40" t="s">
        <v>39</v>
      </c>
      <c r="F80" s="39" t="s">
        <v>116</v>
      </c>
      <c r="G80" s="41">
        <v>0.31419999999999998</v>
      </c>
      <c r="H80" s="20">
        <v>2300</v>
      </c>
      <c r="I80" s="42">
        <v>12</v>
      </c>
      <c r="J80" s="43">
        <f>I80/1000/K80</f>
        <v>15</v>
      </c>
      <c r="K80" s="44">
        <v>8.0000000000000004E-4</v>
      </c>
      <c r="L80" s="45">
        <f>H80/I80*1000</f>
        <v>191666.66666666666</v>
      </c>
      <c r="M80" s="45">
        <f>L80*K80</f>
        <v>153.33333333333334</v>
      </c>
      <c r="N80" s="46" t="s">
        <v>83</v>
      </c>
    </row>
    <row r="81" spans="2:14" ht="15" customHeight="1" x14ac:dyDescent="0.25">
      <c r="B81" s="38" t="s">
        <v>9</v>
      </c>
      <c r="C81" s="38" t="s">
        <v>91</v>
      </c>
      <c r="D81" s="39" t="s">
        <v>160</v>
      </c>
      <c r="E81" s="40" t="s">
        <v>39</v>
      </c>
      <c r="F81" s="39" t="s">
        <v>161</v>
      </c>
      <c r="G81" s="41">
        <v>0.28689999999999999</v>
      </c>
      <c r="H81" s="20">
        <v>2100</v>
      </c>
      <c r="I81" s="42">
        <v>10</v>
      </c>
      <c r="J81" s="43">
        <f>I81/1000/K81</f>
        <v>16.666666666666668</v>
      </c>
      <c r="K81" s="44">
        <v>5.9999999999999995E-4</v>
      </c>
      <c r="L81" s="45">
        <f>H81/I81*1000</f>
        <v>210000</v>
      </c>
      <c r="M81" s="45">
        <f>L81*K81</f>
        <v>125.99999999999999</v>
      </c>
      <c r="N81" s="46" t="s">
        <v>83</v>
      </c>
    </row>
    <row r="82" spans="2:14" ht="21.75" customHeight="1" x14ac:dyDescent="0.25">
      <c r="B82" s="38" t="s">
        <v>9</v>
      </c>
      <c r="C82" s="38" t="s">
        <v>96</v>
      </c>
      <c r="D82" s="39" t="s">
        <v>162</v>
      </c>
      <c r="E82" s="40" t="s">
        <v>39</v>
      </c>
      <c r="F82" s="39" t="s">
        <v>121</v>
      </c>
      <c r="G82" s="41">
        <v>0.39900000000000002</v>
      </c>
      <c r="H82" s="20">
        <v>2920.6</v>
      </c>
      <c r="I82" s="42">
        <v>10</v>
      </c>
      <c r="J82" s="43">
        <f>I82/1000/K82</f>
        <v>5.5555555555555562</v>
      </c>
      <c r="K82" s="44">
        <v>1.8E-3</v>
      </c>
      <c r="L82" s="45">
        <f>H82/I82*1000</f>
        <v>292060</v>
      </c>
      <c r="M82" s="45">
        <f>L82*K82</f>
        <v>525.70799999999997</v>
      </c>
      <c r="N82" s="46" t="s">
        <v>83</v>
      </c>
    </row>
    <row r="83" spans="2:14" ht="46.5" customHeight="1" x14ac:dyDescent="0.25">
      <c r="B83" s="47" t="s">
        <v>112</v>
      </c>
      <c r="C83" s="48"/>
      <c r="D83" s="48"/>
      <c r="E83" s="48"/>
      <c r="F83" s="48"/>
      <c r="G83" s="48"/>
      <c r="H83" s="49">
        <f>SUM(H80:H82)</f>
        <v>7320.6</v>
      </c>
      <c r="I83" s="48"/>
      <c r="J83" s="48"/>
      <c r="K83" s="48"/>
      <c r="L83" s="48"/>
      <c r="M83" s="48"/>
      <c r="N83" s="48"/>
    </row>
    <row r="84" spans="2:14" ht="46.5" customHeight="1" x14ac:dyDescent="0.25">
      <c r="B84" s="50" t="s">
        <v>163</v>
      </c>
      <c r="C84" s="35"/>
      <c r="D84" s="35"/>
      <c r="E84" s="35"/>
      <c r="F84" s="35"/>
      <c r="G84" s="35"/>
      <c r="H84" s="51">
        <f>H44+H54+H61+H68+H73+H78+H83</f>
        <v>104580.00000000001</v>
      </c>
      <c r="I84" s="35"/>
      <c r="J84" s="35"/>
      <c r="K84" s="35"/>
      <c r="L84" s="35"/>
      <c r="M84" s="35"/>
      <c r="N84" s="35"/>
    </row>
    <row r="85" spans="2:14" ht="46.5" customHeight="1" x14ac:dyDescent="0.25"/>
    <row r="86" spans="2:14" ht="46.5" customHeight="1" x14ac:dyDescent="0.25"/>
    <row r="87" spans="2:14" ht="21.75" customHeight="1" x14ac:dyDescent="0.25"/>
    <row r="88" spans="2:14" ht="15" customHeight="1" x14ac:dyDescent="0.25"/>
  </sheetData>
  <mergeCells count="8">
    <mergeCell ref="F26:H26"/>
    <mergeCell ref="F27:H27"/>
    <mergeCell ref="B28:H28"/>
    <mergeCell ref="B10:H10"/>
    <mergeCell ref="B21:H21"/>
    <mergeCell ref="B22:M22"/>
    <mergeCell ref="F24:H24"/>
    <mergeCell ref="F25:H25"/>
  </mergeCells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N33"/>
  <sheetViews>
    <sheetView showGridLines="0" topLeftCell="A6" zoomScale="80" zoomScaleNormal="80" workbookViewId="0">
      <selection activeCell="C7" sqref="C7"/>
    </sheetView>
  </sheetViews>
  <sheetFormatPr defaultColWidth="8.7109375" defaultRowHeight="15" x14ac:dyDescent="0.25"/>
  <cols>
    <col min="1" max="1" width="4" style="2" customWidth="1"/>
    <col min="2" max="2" width="17.85546875" style="2" customWidth="1"/>
    <col min="3" max="3" width="22.5703125" style="2" customWidth="1"/>
    <col min="4" max="4" width="47" style="2" customWidth="1"/>
    <col min="5" max="5" width="22.5703125" style="2" customWidth="1"/>
    <col min="6" max="6" width="38" style="2" customWidth="1"/>
    <col min="7" max="7" width="11" style="2" customWidth="1"/>
    <col min="8" max="8" width="19.85546875" style="2" customWidth="1"/>
    <col min="9" max="11" width="8" style="2" customWidth="1"/>
    <col min="12" max="12" width="13" style="2" customWidth="1"/>
    <col min="13" max="13" width="11" style="2" customWidth="1"/>
    <col min="14" max="14" width="9" style="2" customWidth="1"/>
    <col min="15" max="16384" width="8.7109375" style="2"/>
  </cols>
  <sheetData>
    <row r="2" spans="2:14" ht="15" customHeight="1" x14ac:dyDescent="0.25">
      <c r="B2" s="14" t="s">
        <v>44</v>
      </c>
      <c r="C2" s="15" t="s">
        <v>45</v>
      </c>
    </row>
    <row r="3" spans="2:14" ht="15" customHeight="1" x14ac:dyDescent="0.25">
      <c r="B3" s="14" t="s">
        <v>46</v>
      </c>
      <c r="C3" s="15" t="s">
        <v>164</v>
      </c>
    </row>
    <row r="4" spans="2:14" ht="15" customHeight="1" x14ac:dyDescent="0.25">
      <c r="B4" s="14" t="s">
        <v>0</v>
      </c>
      <c r="C4" s="15" t="s">
        <v>48</v>
      </c>
    </row>
    <row r="5" spans="2:14" ht="15" customHeight="1" x14ac:dyDescent="0.25">
      <c r="B5" s="14" t="s">
        <v>49</v>
      </c>
      <c r="C5" s="15" t="s">
        <v>50</v>
      </c>
    </row>
    <row r="6" spans="2:14" ht="15" customHeight="1" x14ac:dyDescent="0.25">
      <c r="B6" s="14" t="s">
        <v>51</v>
      </c>
      <c r="C6" s="15" t="s">
        <v>52</v>
      </c>
    </row>
    <row r="7" spans="2:14" ht="15" customHeight="1" x14ac:dyDescent="0.25">
      <c r="B7" s="14" t="s">
        <v>53</v>
      </c>
      <c r="C7" s="90" t="s">
        <v>165</v>
      </c>
    </row>
    <row r="8" spans="2:14" ht="15" customHeight="1" x14ac:dyDescent="0.25">
      <c r="B8" s="14" t="s">
        <v>2</v>
      </c>
      <c r="C8" s="16" t="s">
        <v>166</v>
      </c>
    </row>
    <row r="9" spans="2:14" ht="30.75" customHeight="1" x14ac:dyDescent="0.25">
      <c r="B9" s="14" t="s">
        <v>167</v>
      </c>
      <c r="C9" s="93" t="s">
        <v>168</v>
      </c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</row>
    <row r="11" spans="2:14" ht="15" customHeight="1" x14ac:dyDescent="0.25">
      <c r="B11" s="94" t="s">
        <v>169</v>
      </c>
      <c r="C11" s="94"/>
      <c r="D11" s="94"/>
      <c r="E11" s="94"/>
      <c r="F11" s="94"/>
      <c r="G11" s="94"/>
      <c r="H11" s="94"/>
    </row>
    <row r="12" spans="2:14" ht="30" customHeight="1" x14ac:dyDescent="0.25">
      <c r="B12" s="17" t="s">
        <v>11</v>
      </c>
      <c r="C12" s="17" t="s">
        <v>170</v>
      </c>
      <c r="D12" s="17" t="s">
        <v>12</v>
      </c>
      <c r="E12" s="17" t="s">
        <v>57</v>
      </c>
      <c r="F12" s="17" t="s">
        <v>171</v>
      </c>
      <c r="G12" s="17" t="s">
        <v>172</v>
      </c>
      <c r="H12" s="17" t="s">
        <v>59</v>
      </c>
    </row>
    <row r="13" spans="2:14" ht="15" customHeight="1" x14ac:dyDescent="0.25">
      <c r="B13" s="18" t="s">
        <v>19</v>
      </c>
      <c r="C13" s="41">
        <v>1</v>
      </c>
      <c r="D13" s="20">
        <v>4067</v>
      </c>
      <c r="E13" s="20">
        <v>0</v>
      </c>
      <c r="F13" s="20">
        <v>7553</v>
      </c>
      <c r="G13" s="52">
        <f>SUM(D13:F13)</f>
        <v>11620</v>
      </c>
      <c r="H13" s="22" t="s">
        <v>173</v>
      </c>
    </row>
    <row r="15" spans="2:14" ht="21.75" customHeight="1" x14ac:dyDescent="0.25">
      <c r="B15" s="94" t="s">
        <v>174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</row>
    <row r="16" spans="2:14" ht="30" customHeight="1" x14ac:dyDescent="0.25">
      <c r="B16" s="17" t="s">
        <v>11</v>
      </c>
      <c r="C16" s="17" t="s">
        <v>79</v>
      </c>
      <c r="D16" s="17" t="s">
        <v>80</v>
      </c>
      <c r="E16" s="17" t="s">
        <v>34</v>
      </c>
      <c r="F16" s="17" t="s">
        <v>81</v>
      </c>
      <c r="G16" s="17" t="s">
        <v>82</v>
      </c>
      <c r="H16" s="17" t="s">
        <v>70</v>
      </c>
      <c r="I16" s="17" t="s">
        <v>83</v>
      </c>
      <c r="J16" s="17" t="s">
        <v>84</v>
      </c>
      <c r="K16" s="17" t="s">
        <v>85</v>
      </c>
      <c r="L16" s="17" t="s">
        <v>86</v>
      </c>
      <c r="M16" s="17" t="s">
        <v>87</v>
      </c>
      <c r="N16" s="17" t="s">
        <v>88</v>
      </c>
    </row>
    <row r="17" spans="2:14" ht="15" customHeight="1" x14ac:dyDescent="0.25">
      <c r="B17" s="34" t="s">
        <v>175</v>
      </c>
      <c r="C17" s="35"/>
      <c r="D17" s="35"/>
      <c r="E17" s="35"/>
      <c r="F17" s="35"/>
      <c r="G17" s="36" t="s">
        <v>90</v>
      </c>
      <c r="H17" s="37">
        <v>11620</v>
      </c>
      <c r="I17" s="35"/>
      <c r="J17" s="35"/>
      <c r="K17" s="35"/>
      <c r="L17" s="35"/>
      <c r="M17" s="35"/>
      <c r="N17" s="35"/>
    </row>
    <row r="18" spans="2:14" ht="48.75" customHeight="1" x14ac:dyDescent="0.25">
      <c r="B18" s="38" t="s">
        <v>19</v>
      </c>
      <c r="C18" s="38" t="s">
        <v>91</v>
      </c>
      <c r="D18" s="39" t="s">
        <v>176</v>
      </c>
      <c r="E18" s="40" t="s">
        <v>39</v>
      </c>
      <c r="F18" s="39" t="s">
        <v>177</v>
      </c>
      <c r="G18" s="41">
        <v>0.11</v>
      </c>
      <c r="H18" s="20">
        <v>1300</v>
      </c>
      <c r="I18" s="42">
        <v>14</v>
      </c>
      <c r="J18" s="53">
        <f t="shared" ref="J18:J23" si="0">I18/1000/K18</f>
        <v>20</v>
      </c>
      <c r="K18" s="44">
        <v>6.9999999999999999E-4</v>
      </c>
      <c r="L18" s="54">
        <f t="shared" ref="L18:L23" si="1">H18/I18*1000</f>
        <v>92857.142857142855</v>
      </c>
      <c r="M18" s="54">
        <f t="shared" ref="M18:M23" si="2">L18*K18</f>
        <v>65</v>
      </c>
      <c r="N18" s="46" t="s">
        <v>83</v>
      </c>
    </row>
    <row r="19" spans="2:14" ht="48.75" customHeight="1" x14ac:dyDescent="0.25">
      <c r="B19" s="38" t="s">
        <v>19</v>
      </c>
      <c r="C19" s="38" t="s">
        <v>91</v>
      </c>
      <c r="D19" s="39" t="s">
        <v>178</v>
      </c>
      <c r="E19" s="40" t="s">
        <v>39</v>
      </c>
      <c r="F19" s="39" t="s">
        <v>179</v>
      </c>
      <c r="G19" s="41">
        <v>0.1</v>
      </c>
      <c r="H19" s="20">
        <v>1140</v>
      </c>
      <c r="I19" s="42">
        <v>12</v>
      </c>
      <c r="J19" s="53">
        <f t="shared" si="0"/>
        <v>20.000000000000004</v>
      </c>
      <c r="K19" s="44">
        <v>5.9999999999999995E-4</v>
      </c>
      <c r="L19" s="54">
        <f t="shared" si="1"/>
        <v>95000</v>
      </c>
      <c r="M19" s="54">
        <f t="shared" si="2"/>
        <v>56.999999999999993</v>
      </c>
      <c r="N19" s="46" t="s">
        <v>83</v>
      </c>
    </row>
    <row r="20" spans="2:14" ht="48.75" customHeight="1" x14ac:dyDescent="0.25">
      <c r="B20" s="38" t="s">
        <v>19</v>
      </c>
      <c r="C20" s="38" t="s">
        <v>96</v>
      </c>
      <c r="D20" s="39" t="s">
        <v>180</v>
      </c>
      <c r="E20" s="40" t="s">
        <v>39</v>
      </c>
      <c r="F20" s="39" t="s">
        <v>181</v>
      </c>
      <c r="G20" s="41">
        <v>0.14000000000000001</v>
      </c>
      <c r="H20" s="20">
        <v>1627</v>
      </c>
      <c r="I20" s="42">
        <v>10</v>
      </c>
      <c r="J20" s="53">
        <f t="shared" si="0"/>
        <v>5.882352941176471</v>
      </c>
      <c r="K20" s="44">
        <v>1.6999999999999999E-3</v>
      </c>
      <c r="L20" s="54">
        <f t="shared" si="1"/>
        <v>162700</v>
      </c>
      <c r="M20" s="54">
        <f t="shared" si="2"/>
        <v>276.58999999999997</v>
      </c>
      <c r="N20" s="46" t="s">
        <v>83</v>
      </c>
    </row>
    <row r="21" spans="2:14" ht="48.75" customHeight="1" x14ac:dyDescent="0.25">
      <c r="B21" s="38" t="s">
        <v>19</v>
      </c>
      <c r="C21" s="38" t="s">
        <v>182</v>
      </c>
      <c r="D21" s="39" t="s">
        <v>183</v>
      </c>
      <c r="E21" s="40" t="s">
        <v>184</v>
      </c>
      <c r="F21" s="39" t="s">
        <v>185</v>
      </c>
      <c r="G21" s="41">
        <v>0.15</v>
      </c>
      <c r="H21" s="20">
        <v>1743</v>
      </c>
      <c r="I21" s="42">
        <v>12</v>
      </c>
      <c r="J21" s="53">
        <f t="shared" si="0"/>
        <v>3</v>
      </c>
      <c r="K21" s="44">
        <v>4.0000000000000001E-3</v>
      </c>
      <c r="L21" s="54">
        <f t="shared" si="1"/>
        <v>145250</v>
      </c>
      <c r="M21" s="54">
        <f t="shared" si="2"/>
        <v>581</v>
      </c>
      <c r="N21" s="46" t="s">
        <v>83</v>
      </c>
    </row>
    <row r="22" spans="2:14" ht="48.75" customHeight="1" x14ac:dyDescent="0.25">
      <c r="B22" s="38" t="s">
        <v>19</v>
      </c>
      <c r="C22" s="38" t="s">
        <v>182</v>
      </c>
      <c r="D22" s="39" t="s">
        <v>186</v>
      </c>
      <c r="E22" s="40" t="s">
        <v>184</v>
      </c>
      <c r="F22" s="39" t="s">
        <v>187</v>
      </c>
      <c r="G22" s="41">
        <v>0.15</v>
      </c>
      <c r="H22" s="20">
        <v>1743</v>
      </c>
      <c r="I22" s="42">
        <v>11</v>
      </c>
      <c r="J22" s="53">
        <f t="shared" si="0"/>
        <v>3.1428571428571428</v>
      </c>
      <c r="K22" s="44">
        <v>3.5000000000000001E-3</v>
      </c>
      <c r="L22" s="54">
        <f t="shared" si="1"/>
        <v>158454.54545454547</v>
      </c>
      <c r="M22" s="54">
        <f t="shared" si="2"/>
        <v>554.59090909090912</v>
      </c>
      <c r="N22" s="46" t="s">
        <v>83</v>
      </c>
    </row>
    <row r="23" spans="2:14" ht="48.75" customHeight="1" x14ac:dyDescent="0.25">
      <c r="B23" s="38" t="s">
        <v>19</v>
      </c>
      <c r="C23" s="38" t="s">
        <v>182</v>
      </c>
      <c r="D23" s="39" t="s">
        <v>188</v>
      </c>
      <c r="E23" s="40" t="s">
        <v>184</v>
      </c>
      <c r="F23" s="39" t="s">
        <v>189</v>
      </c>
      <c r="G23" s="41">
        <v>0.35</v>
      </c>
      <c r="H23" s="20">
        <v>4067</v>
      </c>
      <c r="I23" s="42">
        <v>10</v>
      </c>
      <c r="J23" s="53">
        <f t="shared" si="0"/>
        <v>2.2222222222222223</v>
      </c>
      <c r="K23" s="44">
        <v>4.4999999999999997E-3</v>
      </c>
      <c r="L23" s="54">
        <f t="shared" si="1"/>
        <v>406700</v>
      </c>
      <c r="M23" s="54">
        <f t="shared" si="2"/>
        <v>1830.1499999999999</v>
      </c>
      <c r="N23" s="46" t="s">
        <v>83</v>
      </c>
    </row>
    <row r="24" spans="2:14" ht="15" customHeight="1" x14ac:dyDescent="0.25">
      <c r="B24" s="47" t="s">
        <v>190</v>
      </c>
      <c r="C24" s="48"/>
      <c r="D24" s="48"/>
      <c r="E24" s="48"/>
      <c r="F24" s="48"/>
      <c r="G24" s="48"/>
      <c r="H24" s="49">
        <f>SUM(H18:H23)</f>
        <v>11620</v>
      </c>
      <c r="I24" s="48"/>
      <c r="J24" s="48"/>
      <c r="K24" s="48"/>
      <c r="L24" s="48"/>
      <c r="M24" s="48"/>
      <c r="N24" s="48"/>
    </row>
    <row r="26" spans="2:14" ht="21.75" customHeight="1" x14ac:dyDescent="0.25">
      <c r="B26" s="94" t="s">
        <v>191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8" spans="2:14" ht="66" customHeight="1" x14ac:dyDescent="0.25">
      <c r="B28" s="55" t="s">
        <v>192</v>
      </c>
      <c r="C28" s="91" t="s">
        <v>193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</row>
    <row r="29" spans="2:14" ht="48" customHeight="1" x14ac:dyDescent="0.25">
      <c r="B29" s="55" t="s">
        <v>194</v>
      </c>
      <c r="C29" s="91" t="s">
        <v>195</v>
      </c>
      <c r="D29" s="91"/>
      <c r="E29" s="91"/>
      <c r="F29" s="91"/>
      <c r="G29" s="91"/>
      <c r="H29" s="91"/>
      <c r="I29" s="91"/>
      <c r="J29" s="91"/>
      <c r="K29" s="91"/>
      <c r="L29" s="91"/>
      <c r="M29" s="91"/>
    </row>
    <row r="30" spans="2:14" ht="48" customHeight="1" x14ac:dyDescent="0.25">
      <c r="B30" s="55" t="s">
        <v>196</v>
      </c>
      <c r="C30" s="91" t="s">
        <v>197</v>
      </c>
      <c r="D30" s="91"/>
      <c r="E30" s="91"/>
      <c r="F30" s="91"/>
      <c r="G30" s="91"/>
      <c r="H30" s="91"/>
      <c r="I30" s="91"/>
      <c r="J30" s="91"/>
      <c r="K30" s="91"/>
      <c r="L30" s="91"/>
      <c r="M30" s="91"/>
    </row>
    <row r="31" spans="2:14" ht="66.75" customHeight="1" x14ac:dyDescent="0.25">
      <c r="B31" s="55" t="s">
        <v>198</v>
      </c>
      <c r="C31" s="91" t="s">
        <v>199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</row>
    <row r="32" spans="2:14" ht="48" customHeight="1" x14ac:dyDescent="0.25">
      <c r="B32" s="55" t="s">
        <v>200</v>
      </c>
      <c r="C32" s="91" t="s">
        <v>201</v>
      </c>
      <c r="D32" s="91"/>
      <c r="E32" s="91"/>
      <c r="F32" s="91"/>
      <c r="G32" s="91"/>
      <c r="H32" s="91"/>
      <c r="I32" s="91"/>
      <c r="J32" s="91"/>
      <c r="K32" s="91"/>
      <c r="L32" s="91"/>
      <c r="M32" s="91"/>
    </row>
    <row r="33" spans="2:9" ht="48" customHeight="1" x14ac:dyDescent="0.25">
      <c r="B33" s="55" t="s">
        <v>202</v>
      </c>
      <c r="C33" s="92" t="s">
        <v>203</v>
      </c>
      <c r="D33" s="92"/>
      <c r="E33" s="92"/>
      <c r="F33" s="92"/>
      <c r="G33" s="92"/>
      <c r="H33" s="92"/>
      <c r="I33" s="92"/>
    </row>
  </sheetData>
  <mergeCells count="10">
    <mergeCell ref="C9:N9"/>
    <mergeCell ref="B11:H11"/>
    <mergeCell ref="B15:M15"/>
    <mergeCell ref="B26:M26"/>
    <mergeCell ref="C28:M28"/>
    <mergeCell ref="C29:M29"/>
    <mergeCell ref="C30:M30"/>
    <mergeCell ref="C31:M31"/>
    <mergeCell ref="C32:M32"/>
    <mergeCell ref="C33:I33"/>
  </mergeCells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38"/>
  <sheetViews>
    <sheetView showGridLines="0" tabSelected="1" zoomScale="80" zoomScaleNormal="80" workbookViewId="0">
      <selection activeCell="B1" sqref="B1"/>
    </sheetView>
  </sheetViews>
  <sheetFormatPr defaultColWidth="8.7109375" defaultRowHeight="15" x14ac:dyDescent="0.25"/>
  <cols>
    <col min="1" max="1" width="4" customWidth="1"/>
    <col min="2" max="2" width="29.28515625" customWidth="1"/>
    <col min="3" max="3" width="23.5703125" customWidth="1"/>
    <col min="4" max="4" width="13" customWidth="1"/>
    <col min="5" max="5" width="18.5703125" customWidth="1"/>
    <col min="6" max="6" width="65" customWidth="1"/>
  </cols>
  <sheetData>
    <row r="2" spans="2:6" ht="17.25" customHeight="1" x14ac:dyDescent="0.25">
      <c r="B2" s="56" t="s">
        <v>204</v>
      </c>
    </row>
    <row r="3" spans="2:6" ht="30" customHeight="1" x14ac:dyDescent="0.25">
      <c r="B3" s="111" t="s">
        <v>205</v>
      </c>
      <c r="C3" s="111"/>
      <c r="D3" s="111"/>
      <c r="E3" s="111"/>
      <c r="F3" s="111"/>
    </row>
    <row r="5" spans="2:6" ht="21.75" customHeight="1" x14ac:dyDescent="0.25">
      <c r="B5" s="112" t="s">
        <v>206</v>
      </c>
      <c r="C5" s="112"/>
      <c r="D5" s="112"/>
      <c r="E5" s="112"/>
      <c r="F5" s="112"/>
    </row>
    <row r="6" spans="2:6" ht="24.75" customHeight="1" x14ac:dyDescent="0.25">
      <c r="B6" s="17" t="s">
        <v>34</v>
      </c>
      <c r="D6" s="17" t="s">
        <v>70</v>
      </c>
      <c r="E6" s="17" t="s">
        <v>56</v>
      </c>
      <c r="F6" s="17" t="s">
        <v>207</v>
      </c>
    </row>
    <row r="7" spans="2:6" ht="21.75" customHeight="1" x14ac:dyDescent="0.25">
      <c r="B7" s="57" t="s">
        <v>38</v>
      </c>
      <c r="C7" s="58"/>
      <c r="D7" s="59">
        <v>61022.44</v>
      </c>
      <c r="E7" s="60">
        <f>D7/$D$10</f>
        <v>0.58350009562057759</v>
      </c>
      <c r="F7" s="61" t="s">
        <v>208</v>
      </c>
    </row>
    <row r="8" spans="2:6" ht="45" customHeight="1" x14ac:dyDescent="0.25">
      <c r="B8" s="57" t="s">
        <v>39</v>
      </c>
      <c r="C8" s="58"/>
      <c r="D8" s="59">
        <v>43557.56</v>
      </c>
      <c r="E8" s="60">
        <f>D8/$D$10</f>
        <v>0.41649990437942241</v>
      </c>
      <c r="F8" s="61" t="s">
        <v>209</v>
      </c>
    </row>
    <row r="9" spans="2:6" ht="21.75" customHeight="1" x14ac:dyDescent="0.25">
      <c r="B9" s="57" t="s">
        <v>74</v>
      </c>
      <c r="C9" s="58"/>
      <c r="D9" s="59">
        <v>0</v>
      </c>
      <c r="E9" s="60">
        <f>D9/$D$10</f>
        <v>0</v>
      </c>
      <c r="F9" s="61" t="s">
        <v>75</v>
      </c>
    </row>
    <row r="10" spans="2:6" ht="15" customHeight="1" x14ac:dyDescent="0.25">
      <c r="B10" s="62" t="s">
        <v>67</v>
      </c>
      <c r="C10" s="63"/>
      <c r="D10" s="64">
        <f>SUM(D7:D9)</f>
        <v>104580</v>
      </c>
      <c r="E10" s="65">
        <f>SUM(E7:E9)</f>
        <v>1</v>
      </c>
      <c r="F10" s="63"/>
    </row>
    <row r="12" spans="2:6" ht="21.75" customHeight="1" x14ac:dyDescent="0.25">
      <c r="B12" s="112" t="s">
        <v>210</v>
      </c>
      <c r="C12" s="112"/>
      <c r="D12" s="112"/>
      <c r="E12" s="112"/>
      <c r="F12" s="112"/>
    </row>
    <row r="13" spans="2:6" ht="24.75" customHeight="1" x14ac:dyDescent="0.25">
      <c r="B13" s="17" t="s">
        <v>34</v>
      </c>
      <c r="D13" s="17" t="s">
        <v>70</v>
      </c>
      <c r="E13" s="17" t="s">
        <v>170</v>
      </c>
      <c r="F13" s="17" t="s">
        <v>211</v>
      </c>
    </row>
    <row r="14" spans="2:6" ht="21.75" customHeight="1" x14ac:dyDescent="0.25">
      <c r="B14" s="57" t="s">
        <v>184</v>
      </c>
      <c r="C14" s="58"/>
      <c r="D14" s="59">
        <v>7553</v>
      </c>
      <c r="E14" s="60">
        <v>0.65</v>
      </c>
      <c r="F14" s="66" t="s">
        <v>212</v>
      </c>
    </row>
    <row r="15" spans="2:6" ht="21.75" customHeight="1" x14ac:dyDescent="0.25">
      <c r="B15" s="57" t="s">
        <v>39</v>
      </c>
      <c r="C15" s="58"/>
      <c r="D15" s="59">
        <v>4067</v>
      </c>
      <c r="E15" s="60">
        <v>0.35</v>
      </c>
      <c r="F15" s="66" t="s">
        <v>19</v>
      </c>
    </row>
    <row r="16" spans="2:6" ht="15" customHeight="1" x14ac:dyDescent="0.25">
      <c r="B16" s="62" t="s">
        <v>213</v>
      </c>
      <c r="C16" s="63"/>
      <c r="D16" s="64">
        <v>11620</v>
      </c>
      <c r="E16" s="65">
        <v>1</v>
      </c>
      <c r="F16" s="63"/>
    </row>
    <row r="18" spans="2:6" ht="21.75" customHeight="1" x14ac:dyDescent="0.25">
      <c r="B18" s="112" t="s">
        <v>214</v>
      </c>
      <c r="C18" s="112"/>
      <c r="D18" s="112"/>
      <c r="E18" s="112"/>
      <c r="F18" s="112"/>
    </row>
    <row r="19" spans="2:6" ht="24.75" customHeight="1" x14ac:dyDescent="0.25">
      <c r="B19" s="17" t="s">
        <v>34</v>
      </c>
      <c r="D19" s="17" t="s">
        <v>70</v>
      </c>
      <c r="E19" s="17" t="s">
        <v>215</v>
      </c>
    </row>
    <row r="20" spans="2:6" ht="21.75" customHeight="1" x14ac:dyDescent="0.25">
      <c r="B20" s="57" t="s">
        <v>38</v>
      </c>
      <c r="C20" s="58"/>
      <c r="D20" s="59">
        <v>61022.44</v>
      </c>
      <c r="E20" s="60">
        <f>D20/$D$24</f>
        <v>0.52515008605851976</v>
      </c>
      <c r="F20" s="58"/>
    </row>
    <row r="21" spans="2:6" ht="21.75" customHeight="1" x14ac:dyDescent="0.25">
      <c r="B21" s="57" t="s">
        <v>39</v>
      </c>
      <c r="C21" s="58"/>
      <c r="D21" s="59">
        <v>47624.56</v>
      </c>
      <c r="E21" s="60">
        <f>D21/$D$24</f>
        <v>0.40984991394148018</v>
      </c>
      <c r="F21" s="58"/>
    </row>
    <row r="22" spans="2:6" ht="21.75" customHeight="1" x14ac:dyDescent="0.25">
      <c r="B22" s="57" t="s">
        <v>74</v>
      </c>
      <c r="C22" s="58"/>
      <c r="D22" s="59">
        <v>0</v>
      </c>
      <c r="E22" s="60">
        <f>D22/$D$24</f>
        <v>0</v>
      </c>
      <c r="F22" s="58"/>
    </row>
    <row r="23" spans="2:6" ht="21.75" customHeight="1" x14ac:dyDescent="0.25">
      <c r="B23" s="57" t="s">
        <v>184</v>
      </c>
      <c r="C23" s="58"/>
      <c r="D23" s="59">
        <v>7553</v>
      </c>
      <c r="E23" s="60">
        <f>D23/$D$24</f>
        <v>6.5000000000000002E-2</v>
      </c>
      <c r="F23" s="58"/>
    </row>
    <row r="24" spans="2:6" ht="15" customHeight="1" x14ac:dyDescent="0.25">
      <c r="B24" s="62" t="s">
        <v>216</v>
      </c>
      <c r="C24" s="63"/>
      <c r="D24" s="64">
        <f>SUM(D20:D23)</f>
        <v>116200</v>
      </c>
      <c r="E24" s="65">
        <f>SUM(E20:E23)</f>
        <v>1</v>
      </c>
      <c r="F24" s="63"/>
    </row>
    <row r="26" spans="2:6" ht="15" customHeight="1" x14ac:dyDescent="0.25">
      <c r="B26" s="110" t="s">
        <v>217</v>
      </c>
      <c r="C26" s="110"/>
      <c r="D26" s="110"/>
      <c r="E26" s="110"/>
      <c r="F26" s="110"/>
    </row>
    <row r="27" spans="2:6" ht="109.5" customHeight="1" x14ac:dyDescent="0.25">
      <c r="B27" s="109" t="s">
        <v>218</v>
      </c>
      <c r="C27" s="109"/>
      <c r="D27" s="109"/>
      <c r="E27" s="109"/>
      <c r="F27" s="109"/>
    </row>
    <row r="29" spans="2:6" ht="15" customHeight="1" x14ac:dyDescent="0.25">
      <c r="B29" s="110" t="s">
        <v>219</v>
      </c>
      <c r="C29" s="110"/>
      <c r="D29" s="110"/>
      <c r="E29" s="110"/>
      <c r="F29" s="110"/>
    </row>
    <row r="30" spans="2:6" ht="24.75" customHeight="1" x14ac:dyDescent="0.25">
      <c r="B30" s="17" t="s">
        <v>11</v>
      </c>
      <c r="C30" s="17" t="s">
        <v>220</v>
      </c>
      <c r="D30" s="17" t="s">
        <v>221</v>
      </c>
      <c r="F30" s="17" t="s">
        <v>222</v>
      </c>
    </row>
    <row r="31" spans="2:6" ht="15" customHeight="1" x14ac:dyDescent="0.25">
      <c r="B31" s="67" t="s">
        <v>223</v>
      </c>
      <c r="C31" s="67" t="s">
        <v>224</v>
      </c>
      <c r="D31" s="68">
        <v>28916.36</v>
      </c>
      <c r="E31" s="58"/>
      <c r="F31" s="69" t="s">
        <v>225</v>
      </c>
    </row>
    <row r="32" spans="2:6" ht="15" customHeight="1" x14ac:dyDescent="0.25">
      <c r="B32" s="67" t="s">
        <v>226</v>
      </c>
      <c r="C32" s="67" t="s">
        <v>227</v>
      </c>
      <c r="D32" s="68">
        <v>14641.2</v>
      </c>
      <c r="E32" s="58"/>
      <c r="F32" s="69" t="s">
        <v>228</v>
      </c>
    </row>
    <row r="33" spans="2:6" ht="15" customHeight="1" x14ac:dyDescent="0.25">
      <c r="B33" s="67" t="s">
        <v>229</v>
      </c>
      <c r="C33" s="67"/>
      <c r="D33" s="68">
        <f>D31+D32</f>
        <v>43557.56</v>
      </c>
      <c r="E33" s="58"/>
      <c r="F33" s="69" t="s">
        <v>230</v>
      </c>
    </row>
    <row r="34" spans="2:6" ht="15" customHeight="1" x14ac:dyDescent="0.25">
      <c r="B34" s="67"/>
      <c r="C34" s="67"/>
      <c r="D34" s="68"/>
      <c r="E34" s="58"/>
      <c r="F34" s="69"/>
    </row>
    <row r="35" spans="2:6" ht="15" customHeight="1" x14ac:dyDescent="0.25">
      <c r="B35" s="67"/>
      <c r="C35" s="67"/>
      <c r="D35" s="68"/>
      <c r="E35" s="58"/>
      <c r="F35" s="69"/>
    </row>
    <row r="36" spans="2:6" ht="15" customHeight="1" x14ac:dyDescent="0.25">
      <c r="B36" s="67"/>
      <c r="C36" s="67"/>
      <c r="D36" s="68"/>
      <c r="E36" s="58"/>
      <c r="F36" s="69"/>
    </row>
    <row r="37" spans="2:6" ht="15" customHeight="1" x14ac:dyDescent="0.25">
      <c r="B37" s="67"/>
      <c r="C37" s="67"/>
      <c r="D37" s="68"/>
      <c r="E37" s="58"/>
      <c r="F37" s="69"/>
    </row>
    <row r="38" spans="2:6" ht="15" customHeight="1" x14ac:dyDescent="0.25">
      <c r="B38" s="62"/>
      <c r="C38" s="63"/>
      <c r="D38" s="64"/>
      <c r="E38" s="63"/>
      <c r="F38" s="70"/>
    </row>
  </sheetData>
  <mergeCells count="7">
    <mergeCell ref="B27:F27"/>
    <mergeCell ref="B29:F29"/>
    <mergeCell ref="B3:F3"/>
    <mergeCell ref="B5:F5"/>
    <mergeCell ref="B12:F12"/>
    <mergeCell ref="B18:F18"/>
    <mergeCell ref="B26:F26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APAC + JP Activation Plan</vt:lpstr>
      <vt:lpstr>APAC Activation Plan</vt:lpstr>
      <vt:lpstr>JP Activation Plan</vt:lpstr>
      <vt:lpstr>Platform Allocation</vt:lpstr>
      <vt:lpstr>'APAC Activation Plan'!Print_Area</vt:lpstr>
      <vt:lpstr>'JP Activation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Melissa Callo</cp:lastModifiedBy>
  <cp:revision>0</cp:revision>
  <dcterms:created xsi:type="dcterms:W3CDTF">2026-06-02T17:41:36Z</dcterms:created>
  <dcterms:modified xsi:type="dcterms:W3CDTF">2026-07-06T00:44:07Z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0x0101003C0CF07E58075A4090E7CDA8EA2A3473</vt:lpwstr>
  </property>
  <property fmtid="{D5CDD505-2E9C-101B-9397-08002B2CF9AE}" pid="3" name="MediaServiceImageTags">
    <vt:lpwstr/>
  </property>
</Properties>
</file>